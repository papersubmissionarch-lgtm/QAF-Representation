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E:\Master\Journal Paper (BIM Implementation)\260810_Threshold Sensitivity Analysis\"/>
    </mc:Choice>
  </mc:AlternateContent>
  <xr:revisionPtr revIDLastSave="0" documentId="13_ncr:1_{FCFDED42-6EEF-446B-8BC5-F279DA0855CE}" xr6:coauthVersionLast="47" xr6:coauthVersionMax="47" xr10:uidLastSave="{00000000-0000-0000-0000-000000000000}"/>
  <bookViews>
    <workbookView xWindow="-110" yWindow="-110" windowWidth="25820" windowHeight="14020" firstSheet="1" activeTab="3" xr2:uid="{EFDACB94-23A5-4B8D-A1CB-5FED40126AF8}"/>
    <workbookView xWindow="-110" yWindow="-110" windowWidth="25820" windowHeight="14020" firstSheet="1" activeTab="3" xr2:uid="{304B7F8A-02C2-4363-A4CF-56F61EAAE9EE}"/>
  </bookViews>
  <sheets>
    <sheet name="Settings" sheetId="1" r:id="rId1"/>
    <sheet name="Regularity_Sensitivity" sheetId="2" r:id="rId2"/>
    <sheet name="Symmetry_Sensitivity" sheetId="3" r:id="rId3"/>
    <sheet name="Complexity"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Z5" i="3" l="1" a="1"/>
  <c r="Z5" i="3" s="1"/>
  <c r="Z6" i="3" a="1"/>
  <c r="Z6" i="3" s="1"/>
  <c r="Z7" i="3" a="1"/>
  <c r="Z7" i="3"/>
  <c r="Z8" i="3" a="1"/>
  <c r="Z8" i="3" s="1"/>
  <c r="Z9" i="3" a="1"/>
  <c r="Z9" i="3"/>
  <c r="Z10" i="3" a="1"/>
  <c r="Z10" i="3" s="1"/>
  <c r="Z11" i="3" a="1"/>
  <c r="Z11" i="3" s="1"/>
  <c r="Z12" i="3" a="1"/>
  <c r="Z12" i="3" s="1"/>
  <c r="AA2" i="3"/>
  <c r="AA3" i="3"/>
  <c r="AA4" i="3"/>
  <c r="AA5" i="3"/>
  <c r="AA6" i="3"/>
  <c r="AA7" i="3"/>
  <c r="AA8" i="3"/>
  <c r="AA9" i="3"/>
  <c r="AA10" i="3"/>
  <c r="AA11" i="3"/>
  <c r="AA12" i="3"/>
  <c r="AA13" i="3"/>
  <c r="AA14" i="3"/>
  <c r="AA15" i="3"/>
  <c r="AA16" i="3"/>
  <c r="AA17" i="3"/>
  <c r="AA18" i="3"/>
  <c r="AA19" i="3"/>
  <c r="AA20" i="3"/>
  <c r="AR164" i="3" a="1"/>
  <c r="AR164" i="3" s="1"/>
  <c r="AT164" i="3" s="1"/>
  <c r="AR155" i="3" a="1"/>
  <c r="AR155" i="3" s="1"/>
  <c r="AT155" i="3" s="1"/>
  <c r="AR146" i="3" a="1"/>
  <c r="AR146" i="3" s="1"/>
  <c r="AT146" i="3" s="1"/>
  <c r="AR137" i="3" a="1"/>
  <c r="AR137" i="3" s="1"/>
  <c r="AT137" i="3" s="1"/>
  <c r="AR128" i="3" a="1"/>
  <c r="AR128" i="3" s="1"/>
  <c r="AT128" i="3" s="1"/>
  <c r="AR119" i="3" a="1"/>
  <c r="AR119" i="3" s="1"/>
  <c r="AT119" i="3" s="1"/>
  <c r="AR110" i="3" a="1"/>
  <c r="AR110" i="3" s="1"/>
  <c r="AT110" i="3" s="1"/>
  <c r="AR101" i="3" a="1"/>
  <c r="AR101" i="3" s="1"/>
  <c r="AT101" i="3" s="1"/>
  <c r="AR92" i="3" a="1"/>
  <c r="AR92" i="3" s="1"/>
  <c r="AT92" i="3" s="1"/>
  <c r="AR83" i="3" a="1"/>
  <c r="AR83" i="3" s="1"/>
  <c r="AT83" i="3" s="1"/>
  <c r="AR74" i="3" a="1"/>
  <c r="AR74" i="3" s="1"/>
  <c r="AT74" i="3" s="1"/>
  <c r="AR65" i="3" a="1"/>
  <c r="AR65" i="3" s="1"/>
  <c r="AT65" i="3" s="1"/>
  <c r="AR56" i="3" a="1"/>
  <c r="AR56" i="3" s="1"/>
  <c r="AT56" i="3" s="1"/>
  <c r="AR47" i="3" a="1"/>
  <c r="AR47" i="3" s="1"/>
  <c r="AT47" i="3" s="1"/>
  <c r="AR38" i="3" a="1"/>
  <c r="AR38" i="3" s="1"/>
  <c r="AT38" i="3" s="1"/>
  <c r="AR29" i="3" a="1"/>
  <c r="AR29" i="3" s="1"/>
  <c r="AT29" i="3" s="1"/>
  <c r="AR20" i="3" a="1"/>
  <c r="AR20" i="3" s="1"/>
  <c r="AT20" i="3" s="1"/>
  <c r="AR11" i="3" a="1"/>
  <c r="AR11" i="3" s="1"/>
  <c r="AT11" i="3" s="1"/>
  <c r="AR2" i="3" a="1"/>
  <c r="AR2" i="3" s="1"/>
  <c r="AT2" i="3" s="1"/>
  <c r="AS2" i="3" a="1"/>
  <c r="AS2" i="3" s="1"/>
  <c r="AU2" i="3" s="1"/>
  <c r="T3" i="2" a="1"/>
  <c r="T3" i="2" s="1"/>
  <c r="V9" i="2" s="1"/>
  <c r="Z3" i="3" a="1"/>
  <c r="Z3" i="3" s="1"/>
  <c r="AH4" i="3" a="1"/>
  <c r="AH4" i="3" s="1"/>
  <c r="AH5" i="3" a="1"/>
  <c r="AH5" i="3" s="1"/>
  <c r="Z13" i="3" a="1"/>
  <c r="Z13" i="3" s="1"/>
  <c r="AH15" i="3" a="1"/>
  <c r="AH15" i="3" s="1"/>
  <c r="AH18" i="3" a="1"/>
  <c r="AH18" i="3" s="1"/>
  <c r="AH19" i="3" a="1"/>
  <c r="AH19" i="3" s="1"/>
  <c r="O144" i="3"/>
  <c r="P144" i="3" s="1"/>
  <c r="Q144" i="3" s="1"/>
  <c r="O145" i="3"/>
  <c r="P145" i="3" s="1"/>
  <c r="Q145" i="3" s="1"/>
  <c r="O146" i="3"/>
  <c r="P146" i="3" s="1"/>
  <c r="Q146" i="3" s="1"/>
  <c r="O147" i="3"/>
  <c r="P147" i="3" s="1"/>
  <c r="Q147" i="3" s="1"/>
  <c r="O148" i="3"/>
  <c r="P148" i="3" s="1"/>
  <c r="Q148" i="3" s="1"/>
  <c r="O149" i="3"/>
  <c r="P149" i="3" s="1"/>
  <c r="Q149" i="3" s="1"/>
  <c r="O150" i="3"/>
  <c r="P150" i="3" s="1"/>
  <c r="Q150" i="3" s="1"/>
  <c r="O151" i="3"/>
  <c r="P151" i="3" s="1"/>
  <c r="Q151" i="3" s="1"/>
  <c r="O152" i="3"/>
  <c r="P152" i="3" s="1"/>
  <c r="Q152" i="3" s="1"/>
  <c r="O153" i="3"/>
  <c r="P153" i="3" s="1"/>
  <c r="Q153" i="3" s="1"/>
  <c r="O154" i="3"/>
  <c r="P154" i="3" s="1"/>
  <c r="Q154" i="3" s="1"/>
  <c r="O155" i="3"/>
  <c r="P155" i="3" s="1"/>
  <c r="Q155" i="3" s="1"/>
  <c r="O156" i="3"/>
  <c r="P156" i="3" s="1"/>
  <c r="Q156" i="3" s="1"/>
  <c r="O157" i="3"/>
  <c r="P157" i="3" s="1"/>
  <c r="Q157" i="3" s="1"/>
  <c r="O158" i="3"/>
  <c r="P158" i="3" s="1"/>
  <c r="Q158" i="3" s="1"/>
  <c r="O159" i="3"/>
  <c r="P159" i="3" s="1"/>
  <c r="Q159" i="3" s="1"/>
  <c r="O160" i="3"/>
  <c r="P160" i="3" s="1"/>
  <c r="Q160" i="3" s="1"/>
  <c r="O161" i="3"/>
  <c r="P161" i="3" s="1"/>
  <c r="Q161" i="3" s="1"/>
  <c r="O143" i="3"/>
  <c r="P143" i="3" s="1"/>
  <c r="Q143" i="3" s="1"/>
  <c r="O124" i="3"/>
  <c r="P124" i="3" s="1"/>
  <c r="Q124" i="3" s="1"/>
  <c r="O125" i="3"/>
  <c r="P125" i="3" s="1"/>
  <c r="Q125" i="3" s="1"/>
  <c r="O126" i="3"/>
  <c r="P126" i="3" s="1"/>
  <c r="Q126" i="3" s="1"/>
  <c r="O127" i="3"/>
  <c r="P127" i="3" s="1"/>
  <c r="Q127" i="3" s="1"/>
  <c r="O128" i="3"/>
  <c r="P128" i="3" s="1"/>
  <c r="Q128" i="3" s="1"/>
  <c r="O129" i="3"/>
  <c r="P129" i="3" s="1"/>
  <c r="Q129" i="3" s="1"/>
  <c r="O130" i="3"/>
  <c r="P130" i="3" s="1"/>
  <c r="Q130" i="3" s="1"/>
  <c r="O131" i="3"/>
  <c r="P131" i="3" s="1"/>
  <c r="Q131" i="3" s="1"/>
  <c r="O132" i="3"/>
  <c r="P132" i="3" s="1"/>
  <c r="Q132" i="3" s="1"/>
  <c r="O133" i="3"/>
  <c r="P133" i="3" s="1"/>
  <c r="Q133" i="3" s="1"/>
  <c r="O134" i="3"/>
  <c r="P134" i="3" s="1"/>
  <c r="Q134" i="3" s="1"/>
  <c r="O135" i="3"/>
  <c r="P135" i="3" s="1"/>
  <c r="Q135" i="3" s="1"/>
  <c r="O136" i="3"/>
  <c r="P136" i="3" s="1"/>
  <c r="Q136" i="3" s="1"/>
  <c r="O137" i="3"/>
  <c r="P137" i="3" s="1"/>
  <c r="Q137" i="3" s="1"/>
  <c r="O138" i="3"/>
  <c r="P138" i="3" s="1"/>
  <c r="Q138" i="3" s="1"/>
  <c r="O139" i="3"/>
  <c r="P139" i="3" s="1"/>
  <c r="Q139" i="3" s="1"/>
  <c r="O140" i="3"/>
  <c r="P140" i="3" s="1"/>
  <c r="O141" i="3"/>
  <c r="P141" i="3" s="1"/>
  <c r="Q141" i="3" s="1"/>
  <c r="O123" i="3"/>
  <c r="P123" i="3" s="1"/>
  <c r="Q123" i="3" s="1"/>
  <c r="O104" i="3"/>
  <c r="P104" i="3" s="1"/>
  <c r="Q104" i="3" s="1"/>
  <c r="O105" i="3"/>
  <c r="P105" i="3" s="1"/>
  <c r="Q105" i="3" s="1"/>
  <c r="O106" i="3"/>
  <c r="P106" i="3" s="1"/>
  <c r="Q106" i="3" s="1"/>
  <c r="O107" i="3"/>
  <c r="P107" i="3" s="1"/>
  <c r="Q107" i="3" s="1"/>
  <c r="O108" i="3"/>
  <c r="P108" i="3" s="1"/>
  <c r="Q108" i="3" s="1"/>
  <c r="O109" i="3"/>
  <c r="P109" i="3" s="1"/>
  <c r="Q109" i="3" s="1"/>
  <c r="O110" i="3"/>
  <c r="P110" i="3" s="1"/>
  <c r="Q110" i="3" s="1"/>
  <c r="O111" i="3"/>
  <c r="P111" i="3" s="1"/>
  <c r="Q111" i="3" s="1"/>
  <c r="O112" i="3"/>
  <c r="P112" i="3" s="1"/>
  <c r="Q112" i="3" s="1"/>
  <c r="O113" i="3"/>
  <c r="P113" i="3" s="1"/>
  <c r="Q113" i="3" s="1"/>
  <c r="O114" i="3"/>
  <c r="P114" i="3" s="1"/>
  <c r="Q114" i="3" s="1"/>
  <c r="O115" i="3"/>
  <c r="P115" i="3" s="1"/>
  <c r="Q115" i="3" s="1"/>
  <c r="O116" i="3"/>
  <c r="P116" i="3" s="1"/>
  <c r="Q116" i="3" s="1"/>
  <c r="O117" i="3"/>
  <c r="P117" i="3" s="1"/>
  <c r="Q117" i="3" s="1"/>
  <c r="O118" i="3"/>
  <c r="P118" i="3" s="1"/>
  <c r="Q118" i="3" s="1"/>
  <c r="O119" i="3"/>
  <c r="P119" i="3" s="1"/>
  <c r="Q119" i="3" s="1"/>
  <c r="O120" i="3"/>
  <c r="P120" i="3" s="1"/>
  <c r="Q120" i="3" s="1"/>
  <c r="O121" i="3"/>
  <c r="P121" i="3" s="1"/>
  <c r="Q121" i="3" s="1"/>
  <c r="O103" i="3"/>
  <c r="P103" i="3" s="1"/>
  <c r="Q103" i="3" s="1"/>
  <c r="O84" i="3"/>
  <c r="P84" i="3" s="1"/>
  <c r="Q84" i="3" s="1"/>
  <c r="O85" i="3"/>
  <c r="P85" i="3" s="1"/>
  <c r="Q85" i="3" s="1"/>
  <c r="O86" i="3"/>
  <c r="P86" i="3" s="1"/>
  <c r="Q86" i="3" s="1"/>
  <c r="O87" i="3"/>
  <c r="P87" i="3" s="1"/>
  <c r="Q87" i="3" s="1"/>
  <c r="O88" i="3"/>
  <c r="P88" i="3" s="1"/>
  <c r="Q88" i="3" s="1"/>
  <c r="O89" i="3"/>
  <c r="P89" i="3" s="1"/>
  <c r="Q89" i="3" s="1"/>
  <c r="O90" i="3"/>
  <c r="P90" i="3" s="1"/>
  <c r="Q90" i="3" s="1"/>
  <c r="O91" i="3"/>
  <c r="P91" i="3" s="1"/>
  <c r="Q91" i="3" s="1"/>
  <c r="O92" i="3"/>
  <c r="P92" i="3" s="1"/>
  <c r="Q92" i="3" s="1"/>
  <c r="O93" i="3"/>
  <c r="P93" i="3" s="1"/>
  <c r="Q93" i="3" s="1"/>
  <c r="O94" i="3"/>
  <c r="P94" i="3" s="1"/>
  <c r="Q94" i="3" s="1"/>
  <c r="O95" i="3"/>
  <c r="P95" i="3" s="1"/>
  <c r="Q95" i="3" s="1"/>
  <c r="O96" i="3"/>
  <c r="P96" i="3" s="1"/>
  <c r="Q96" i="3" s="1"/>
  <c r="O97" i="3"/>
  <c r="P97" i="3" s="1"/>
  <c r="Q97" i="3" s="1"/>
  <c r="O98" i="3"/>
  <c r="P98" i="3" s="1"/>
  <c r="Q98" i="3" s="1"/>
  <c r="O99" i="3"/>
  <c r="P99" i="3" s="1"/>
  <c r="Q99" i="3" s="1"/>
  <c r="O100" i="3"/>
  <c r="P100" i="3" s="1"/>
  <c r="Q100" i="3" s="1"/>
  <c r="O101" i="3"/>
  <c r="P101" i="3" s="1"/>
  <c r="Q101" i="3" s="1"/>
  <c r="O83" i="3"/>
  <c r="P83" i="3" s="1"/>
  <c r="Q83" i="3" s="1"/>
  <c r="O64" i="3"/>
  <c r="P64" i="3" s="1"/>
  <c r="Q64" i="3" s="1"/>
  <c r="O65" i="3"/>
  <c r="P65" i="3" s="1"/>
  <c r="Q65" i="3" s="1"/>
  <c r="O66" i="3"/>
  <c r="P66" i="3" s="1"/>
  <c r="Q66" i="3" s="1"/>
  <c r="O67" i="3"/>
  <c r="P67" i="3" s="1"/>
  <c r="Q67" i="3" s="1"/>
  <c r="O68" i="3"/>
  <c r="P68" i="3" s="1"/>
  <c r="Q68" i="3" s="1"/>
  <c r="O69" i="3"/>
  <c r="P69" i="3" s="1"/>
  <c r="Q69" i="3" s="1"/>
  <c r="O70" i="3"/>
  <c r="P70" i="3" s="1"/>
  <c r="Q70" i="3" s="1"/>
  <c r="O71" i="3"/>
  <c r="P71" i="3" s="1"/>
  <c r="Q71" i="3" s="1"/>
  <c r="O72" i="3"/>
  <c r="P72" i="3" s="1"/>
  <c r="Q72" i="3" s="1"/>
  <c r="O73" i="3"/>
  <c r="P73" i="3" s="1"/>
  <c r="Q73" i="3" s="1"/>
  <c r="O74" i="3"/>
  <c r="P74" i="3" s="1"/>
  <c r="Q74" i="3" s="1"/>
  <c r="O75" i="3"/>
  <c r="P75" i="3" s="1"/>
  <c r="Q75" i="3" s="1"/>
  <c r="O76" i="3"/>
  <c r="P76" i="3" s="1"/>
  <c r="Q76" i="3" s="1"/>
  <c r="O77" i="3"/>
  <c r="P77" i="3" s="1"/>
  <c r="Q77" i="3" s="1"/>
  <c r="O78" i="3"/>
  <c r="P78" i="3" s="1"/>
  <c r="Q78" i="3" s="1"/>
  <c r="O79" i="3"/>
  <c r="P79" i="3" s="1"/>
  <c r="Q79" i="3" s="1"/>
  <c r="O80" i="3"/>
  <c r="P80" i="3" s="1"/>
  <c r="Q80" i="3" s="1"/>
  <c r="O81" i="3"/>
  <c r="P81" i="3" s="1"/>
  <c r="Q81" i="3" s="1"/>
  <c r="O63" i="3"/>
  <c r="P63" i="3" s="1"/>
  <c r="Q63" i="3" s="1"/>
  <c r="O44" i="3"/>
  <c r="P44" i="3" s="1"/>
  <c r="Q44" i="3" s="1"/>
  <c r="O45" i="3"/>
  <c r="P45" i="3" s="1"/>
  <c r="Q45" i="3" s="1"/>
  <c r="O46" i="3"/>
  <c r="P46" i="3" s="1"/>
  <c r="Q46" i="3" s="1"/>
  <c r="O47" i="3"/>
  <c r="P47" i="3" s="1"/>
  <c r="Q47" i="3" s="1"/>
  <c r="O48" i="3"/>
  <c r="P48" i="3" s="1"/>
  <c r="Q48" i="3" s="1"/>
  <c r="O49" i="3"/>
  <c r="P49" i="3" s="1"/>
  <c r="Q49" i="3" s="1"/>
  <c r="O50" i="3"/>
  <c r="P50" i="3" s="1"/>
  <c r="Q50" i="3" s="1"/>
  <c r="O51" i="3"/>
  <c r="P51" i="3" s="1"/>
  <c r="Q51" i="3" s="1"/>
  <c r="O52" i="3"/>
  <c r="P52" i="3" s="1"/>
  <c r="Q52" i="3" s="1"/>
  <c r="O53" i="3"/>
  <c r="P53" i="3" s="1"/>
  <c r="Q53" i="3" s="1"/>
  <c r="O54" i="3"/>
  <c r="P54" i="3" s="1"/>
  <c r="Q54" i="3" s="1"/>
  <c r="O55" i="3"/>
  <c r="P55" i="3" s="1"/>
  <c r="Q55" i="3" s="1"/>
  <c r="O56" i="3"/>
  <c r="P56" i="3" s="1"/>
  <c r="Q56" i="3" s="1"/>
  <c r="O57" i="3"/>
  <c r="P57" i="3" s="1"/>
  <c r="Q57" i="3" s="1"/>
  <c r="O58" i="3"/>
  <c r="P58" i="3" s="1"/>
  <c r="Q58" i="3" s="1"/>
  <c r="O59" i="3"/>
  <c r="P59" i="3" s="1"/>
  <c r="Q59" i="3" s="1"/>
  <c r="O60" i="3"/>
  <c r="P60" i="3" s="1"/>
  <c r="Q60" i="3" s="1"/>
  <c r="O61" i="3"/>
  <c r="P61" i="3" s="1"/>
  <c r="Q61" i="3" s="1"/>
  <c r="O43" i="3"/>
  <c r="P43" i="3" s="1"/>
  <c r="Q43" i="3" s="1"/>
  <c r="O24" i="3"/>
  <c r="P24" i="3" s="1"/>
  <c r="Q24" i="3" s="1"/>
  <c r="O25" i="3"/>
  <c r="P25" i="3" s="1"/>
  <c r="O26" i="3"/>
  <c r="P26" i="3" s="1"/>
  <c r="Q26" i="3" s="1"/>
  <c r="O27" i="3"/>
  <c r="P27" i="3" s="1"/>
  <c r="Q27" i="3" s="1"/>
  <c r="O28" i="3"/>
  <c r="P28" i="3" s="1"/>
  <c r="Q28" i="3" s="1"/>
  <c r="O29" i="3"/>
  <c r="P29" i="3" s="1"/>
  <c r="Q29" i="3" s="1"/>
  <c r="O30" i="3"/>
  <c r="P30" i="3" s="1"/>
  <c r="Q30" i="3" s="1"/>
  <c r="O31" i="3"/>
  <c r="P31" i="3" s="1"/>
  <c r="Q31" i="3" s="1"/>
  <c r="O32" i="3"/>
  <c r="P32" i="3" s="1"/>
  <c r="Q32" i="3" s="1"/>
  <c r="O33" i="3"/>
  <c r="P33" i="3" s="1"/>
  <c r="Q33" i="3" s="1"/>
  <c r="O34" i="3"/>
  <c r="P34" i="3" s="1"/>
  <c r="Q34" i="3" s="1"/>
  <c r="O35" i="3"/>
  <c r="P35" i="3" s="1"/>
  <c r="Q35" i="3" s="1"/>
  <c r="O36" i="3"/>
  <c r="P36" i="3" s="1"/>
  <c r="Q36" i="3" s="1"/>
  <c r="O37" i="3"/>
  <c r="P37" i="3" s="1"/>
  <c r="Q37" i="3" s="1"/>
  <c r="O38" i="3"/>
  <c r="P38" i="3" s="1"/>
  <c r="Q38" i="3" s="1"/>
  <c r="O39" i="3"/>
  <c r="P39" i="3" s="1"/>
  <c r="Q39" i="3" s="1"/>
  <c r="O40" i="3"/>
  <c r="P40" i="3" s="1"/>
  <c r="Q40" i="3" s="1"/>
  <c r="O41" i="3"/>
  <c r="P41" i="3" s="1"/>
  <c r="Q41" i="3" s="1"/>
  <c r="O23" i="3"/>
  <c r="P23" i="3" s="1"/>
  <c r="Q23" i="3" s="1"/>
  <c r="M144" i="3"/>
  <c r="N144" i="3" s="1"/>
  <c r="M145" i="3"/>
  <c r="N145" i="3" s="1"/>
  <c r="M146" i="3"/>
  <c r="N146" i="3" s="1"/>
  <c r="M147" i="3"/>
  <c r="N147" i="3" s="1"/>
  <c r="M148" i="3"/>
  <c r="N148" i="3" s="1"/>
  <c r="M149" i="3"/>
  <c r="N149" i="3" s="1"/>
  <c r="M150" i="3"/>
  <c r="N150" i="3" s="1"/>
  <c r="M151" i="3"/>
  <c r="N151" i="3" s="1"/>
  <c r="M152" i="3"/>
  <c r="N152" i="3" s="1"/>
  <c r="M153" i="3"/>
  <c r="N153" i="3" s="1"/>
  <c r="M154" i="3"/>
  <c r="N154" i="3" s="1"/>
  <c r="M155" i="3"/>
  <c r="N155" i="3" s="1"/>
  <c r="M156" i="3"/>
  <c r="N156" i="3" s="1"/>
  <c r="M157" i="3"/>
  <c r="N157" i="3" s="1"/>
  <c r="M158" i="3"/>
  <c r="N158" i="3" s="1"/>
  <c r="M159" i="3"/>
  <c r="N159" i="3" s="1"/>
  <c r="M160" i="3"/>
  <c r="N160" i="3" s="1"/>
  <c r="M161" i="3"/>
  <c r="N161" i="3" s="1"/>
  <c r="M143" i="3"/>
  <c r="N143" i="3" s="1"/>
  <c r="M124" i="3"/>
  <c r="N124" i="3" s="1"/>
  <c r="M125" i="3"/>
  <c r="N125" i="3" s="1"/>
  <c r="M126" i="3"/>
  <c r="N126" i="3" s="1"/>
  <c r="M127" i="3"/>
  <c r="N127" i="3" s="1"/>
  <c r="M128" i="3"/>
  <c r="N128" i="3" s="1"/>
  <c r="M129" i="3"/>
  <c r="N129" i="3" s="1"/>
  <c r="M130" i="3"/>
  <c r="N130" i="3" s="1"/>
  <c r="M131" i="3"/>
  <c r="N131" i="3" s="1"/>
  <c r="M132" i="3"/>
  <c r="N132" i="3" s="1"/>
  <c r="M133" i="3"/>
  <c r="N133" i="3" s="1"/>
  <c r="M134" i="3"/>
  <c r="N134" i="3" s="1"/>
  <c r="M135" i="3"/>
  <c r="N135" i="3" s="1"/>
  <c r="M136" i="3"/>
  <c r="N136" i="3" s="1"/>
  <c r="M137" i="3"/>
  <c r="N137" i="3" s="1"/>
  <c r="M138" i="3"/>
  <c r="N138" i="3" s="1"/>
  <c r="M139" i="3"/>
  <c r="N139" i="3" s="1"/>
  <c r="M140" i="3"/>
  <c r="N140" i="3" s="1"/>
  <c r="M141" i="3"/>
  <c r="N141" i="3" s="1"/>
  <c r="M123" i="3"/>
  <c r="N123" i="3" s="1"/>
  <c r="M104" i="3"/>
  <c r="N104" i="3" s="1"/>
  <c r="M105" i="3"/>
  <c r="N105" i="3" s="1"/>
  <c r="M106" i="3"/>
  <c r="N106" i="3" s="1"/>
  <c r="M107" i="3"/>
  <c r="N107" i="3" s="1"/>
  <c r="M108" i="3"/>
  <c r="N108" i="3" s="1"/>
  <c r="M109" i="3"/>
  <c r="N109" i="3" s="1"/>
  <c r="M110" i="3"/>
  <c r="N110" i="3" s="1"/>
  <c r="M111" i="3"/>
  <c r="N111" i="3" s="1"/>
  <c r="M112" i="3"/>
  <c r="N112" i="3" s="1"/>
  <c r="M113" i="3"/>
  <c r="N113" i="3" s="1"/>
  <c r="M114" i="3"/>
  <c r="N114" i="3" s="1"/>
  <c r="M115" i="3"/>
  <c r="N115" i="3" s="1"/>
  <c r="M116" i="3"/>
  <c r="N116" i="3" s="1"/>
  <c r="M117" i="3"/>
  <c r="N117" i="3" s="1"/>
  <c r="M118" i="3"/>
  <c r="N118" i="3" s="1"/>
  <c r="M119" i="3"/>
  <c r="N119" i="3" s="1"/>
  <c r="M120" i="3"/>
  <c r="N120" i="3" s="1"/>
  <c r="M121" i="3"/>
  <c r="N121" i="3" s="1"/>
  <c r="M103" i="3"/>
  <c r="N103" i="3" s="1"/>
  <c r="M84" i="3"/>
  <c r="N84" i="3" s="1"/>
  <c r="M85" i="3"/>
  <c r="N85" i="3" s="1"/>
  <c r="M86" i="3"/>
  <c r="N86" i="3" s="1"/>
  <c r="M87" i="3"/>
  <c r="N87" i="3" s="1"/>
  <c r="M88" i="3"/>
  <c r="N88" i="3" s="1"/>
  <c r="M89" i="3"/>
  <c r="N89" i="3" s="1"/>
  <c r="M90" i="3"/>
  <c r="N90" i="3" s="1"/>
  <c r="M91" i="3"/>
  <c r="N91" i="3" s="1"/>
  <c r="M92" i="3"/>
  <c r="N92" i="3" s="1"/>
  <c r="M93" i="3"/>
  <c r="N93" i="3" s="1"/>
  <c r="M94" i="3"/>
  <c r="N94" i="3" s="1"/>
  <c r="M95" i="3"/>
  <c r="N95" i="3" s="1"/>
  <c r="M96" i="3"/>
  <c r="N96" i="3" s="1"/>
  <c r="M97" i="3"/>
  <c r="N97" i="3" s="1"/>
  <c r="M98" i="3"/>
  <c r="N98" i="3" s="1"/>
  <c r="M99" i="3"/>
  <c r="N99" i="3" s="1"/>
  <c r="M100" i="3"/>
  <c r="N100" i="3" s="1"/>
  <c r="M101" i="3"/>
  <c r="N101" i="3" s="1"/>
  <c r="M83" i="3"/>
  <c r="N83" i="3" s="1"/>
  <c r="M64" i="3"/>
  <c r="N64" i="3" s="1"/>
  <c r="M65" i="3"/>
  <c r="N65" i="3" s="1"/>
  <c r="M66" i="3"/>
  <c r="N66" i="3" s="1"/>
  <c r="M67" i="3"/>
  <c r="N67" i="3" s="1"/>
  <c r="M68" i="3"/>
  <c r="N68" i="3" s="1"/>
  <c r="M69" i="3"/>
  <c r="N69" i="3" s="1"/>
  <c r="M70" i="3"/>
  <c r="N70" i="3" s="1"/>
  <c r="M71" i="3"/>
  <c r="N71" i="3" s="1"/>
  <c r="M72" i="3"/>
  <c r="N72" i="3" s="1"/>
  <c r="M73" i="3"/>
  <c r="N73" i="3" s="1"/>
  <c r="M74" i="3"/>
  <c r="N74" i="3" s="1"/>
  <c r="M75" i="3"/>
  <c r="N75" i="3" s="1"/>
  <c r="M76" i="3"/>
  <c r="N76" i="3" s="1"/>
  <c r="M77" i="3"/>
  <c r="N77" i="3" s="1"/>
  <c r="M78" i="3"/>
  <c r="N78" i="3" s="1"/>
  <c r="M79" i="3"/>
  <c r="N79" i="3" s="1"/>
  <c r="M80" i="3"/>
  <c r="N80" i="3" s="1"/>
  <c r="M81" i="3"/>
  <c r="N81" i="3" s="1"/>
  <c r="M63" i="3"/>
  <c r="N63" i="3" s="1"/>
  <c r="M44" i="3"/>
  <c r="N44" i="3" s="1"/>
  <c r="M45" i="3"/>
  <c r="N45" i="3" s="1"/>
  <c r="M46" i="3"/>
  <c r="N46" i="3" s="1"/>
  <c r="M47" i="3"/>
  <c r="N47" i="3" s="1"/>
  <c r="M48" i="3"/>
  <c r="N48" i="3" s="1"/>
  <c r="M49" i="3"/>
  <c r="N49" i="3" s="1"/>
  <c r="M50" i="3"/>
  <c r="N50" i="3" s="1"/>
  <c r="M51" i="3"/>
  <c r="N51" i="3" s="1"/>
  <c r="M52" i="3"/>
  <c r="N52" i="3" s="1"/>
  <c r="M53" i="3"/>
  <c r="N53" i="3" s="1"/>
  <c r="M54" i="3"/>
  <c r="N54" i="3" s="1"/>
  <c r="M55" i="3"/>
  <c r="N55" i="3" s="1"/>
  <c r="M56" i="3"/>
  <c r="N56" i="3" s="1"/>
  <c r="M57" i="3"/>
  <c r="N57" i="3" s="1"/>
  <c r="M58" i="3"/>
  <c r="N58" i="3" s="1"/>
  <c r="M59" i="3"/>
  <c r="N59" i="3" s="1"/>
  <c r="M60" i="3"/>
  <c r="N60" i="3" s="1"/>
  <c r="M61" i="3"/>
  <c r="N61" i="3" s="1"/>
  <c r="M43" i="3"/>
  <c r="N43" i="3" s="1"/>
  <c r="M24" i="3"/>
  <c r="N24" i="3" s="1"/>
  <c r="M25" i="3"/>
  <c r="N25" i="3" s="1"/>
  <c r="M26" i="3"/>
  <c r="N26" i="3" s="1"/>
  <c r="M27" i="3"/>
  <c r="N27" i="3" s="1"/>
  <c r="M28" i="3"/>
  <c r="N28" i="3" s="1"/>
  <c r="M29" i="3"/>
  <c r="N29" i="3" s="1"/>
  <c r="M30" i="3"/>
  <c r="N30" i="3" s="1"/>
  <c r="M31" i="3"/>
  <c r="N31" i="3" s="1"/>
  <c r="M32" i="3"/>
  <c r="N32" i="3" s="1"/>
  <c r="M33" i="3"/>
  <c r="N33" i="3" s="1"/>
  <c r="M34" i="3"/>
  <c r="N34" i="3" s="1"/>
  <c r="M35" i="3"/>
  <c r="N35" i="3" s="1"/>
  <c r="M36" i="3"/>
  <c r="N36" i="3" s="1"/>
  <c r="M37" i="3"/>
  <c r="N37" i="3" s="1"/>
  <c r="M38" i="3"/>
  <c r="N38" i="3" s="1"/>
  <c r="M39" i="3"/>
  <c r="N39" i="3" s="1"/>
  <c r="M40" i="3"/>
  <c r="N40" i="3" s="1"/>
  <c r="M41" i="3"/>
  <c r="N41" i="3" s="1"/>
  <c r="M23" i="3"/>
  <c r="N23" i="3" s="1"/>
  <c r="M4" i="3"/>
  <c r="N4" i="3" s="1"/>
  <c r="M5" i="3"/>
  <c r="N5" i="3" s="1"/>
  <c r="M6" i="3"/>
  <c r="N6" i="3" s="1"/>
  <c r="M7" i="3"/>
  <c r="N7" i="3" s="1"/>
  <c r="M8" i="3"/>
  <c r="N8" i="3" s="1"/>
  <c r="M9" i="3"/>
  <c r="N9" i="3" s="1"/>
  <c r="M10" i="3"/>
  <c r="N10" i="3" s="1"/>
  <c r="M11" i="3"/>
  <c r="N11" i="3" s="1"/>
  <c r="M12" i="3"/>
  <c r="N12" i="3" s="1"/>
  <c r="M13" i="3"/>
  <c r="N13" i="3" s="1"/>
  <c r="M14" i="3"/>
  <c r="N14" i="3" s="1"/>
  <c r="M15" i="3"/>
  <c r="N15" i="3" s="1"/>
  <c r="M16" i="3"/>
  <c r="N16" i="3" s="1"/>
  <c r="M17" i="3"/>
  <c r="N17" i="3" s="1"/>
  <c r="M18" i="3"/>
  <c r="N18" i="3" s="1"/>
  <c r="M19" i="3"/>
  <c r="N19" i="3" s="1"/>
  <c r="M20" i="3"/>
  <c r="N20" i="3" s="1"/>
  <c r="M21" i="3"/>
  <c r="N21" i="3" s="1"/>
  <c r="M3" i="3"/>
  <c r="N3" i="3" s="1"/>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3" i="3"/>
  <c r="I4" i="3"/>
  <c r="I5" i="3"/>
  <c r="I6" i="3"/>
  <c r="I7" i="3"/>
  <c r="I8" i="3"/>
  <c r="I9" i="3"/>
  <c r="I10" i="3"/>
  <c r="I11" i="3"/>
  <c r="I12" i="3"/>
  <c r="I13" i="3"/>
  <c r="I14" i="3"/>
  <c r="I15" i="3"/>
  <c r="I16" i="3"/>
  <c r="I17" i="3"/>
  <c r="I18" i="3"/>
  <c r="I19" i="3"/>
  <c r="I20" i="3"/>
  <c r="I21" i="3"/>
  <c r="I2" i="3"/>
  <c r="K144" i="3"/>
  <c r="L144" i="3" s="1"/>
  <c r="K145" i="3"/>
  <c r="L145" i="3" s="1"/>
  <c r="K146" i="3"/>
  <c r="L146" i="3" s="1"/>
  <c r="K147" i="3"/>
  <c r="L147" i="3" s="1"/>
  <c r="K148" i="3"/>
  <c r="L148" i="3" s="1"/>
  <c r="K149" i="3"/>
  <c r="L149" i="3" s="1"/>
  <c r="K150" i="3"/>
  <c r="L150" i="3" s="1"/>
  <c r="K151" i="3"/>
  <c r="L151" i="3" s="1"/>
  <c r="K152" i="3"/>
  <c r="L152" i="3" s="1"/>
  <c r="K153" i="3"/>
  <c r="L153" i="3" s="1"/>
  <c r="K154" i="3"/>
  <c r="L154" i="3" s="1"/>
  <c r="K155" i="3"/>
  <c r="L155" i="3" s="1"/>
  <c r="K156" i="3"/>
  <c r="L156" i="3" s="1"/>
  <c r="K157" i="3"/>
  <c r="L157" i="3" s="1"/>
  <c r="K158" i="3"/>
  <c r="L158" i="3" s="1"/>
  <c r="K159" i="3"/>
  <c r="L159" i="3" s="1"/>
  <c r="K160" i="3"/>
  <c r="L160" i="3" s="1"/>
  <c r="K161" i="3"/>
  <c r="L161" i="3" s="1"/>
  <c r="K143" i="3"/>
  <c r="L143" i="3" s="1"/>
  <c r="K124" i="3"/>
  <c r="L124" i="3" s="1"/>
  <c r="K125" i="3"/>
  <c r="L125" i="3" s="1"/>
  <c r="K126" i="3"/>
  <c r="L126" i="3" s="1"/>
  <c r="K127" i="3"/>
  <c r="L127" i="3" s="1"/>
  <c r="K128" i="3"/>
  <c r="L128" i="3" s="1"/>
  <c r="K129" i="3"/>
  <c r="L129" i="3" s="1"/>
  <c r="K130" i="3"/>
  <c r="L130" i="3" s="1"/>
  <c r="K131" i="3"/>
  <c r="L131" i="3" s="1"/>
  <c r="K132" i="3"/>
  <c r="L132" i="3" s="1"/>
  <c r="K133" i="3"/>
  <c r="L133" i="3" s="1"/>
  <c r="K134" i="3"/>
  <c r="L134" i="3" s="1"/>
  <c r="K135" i="3"/>
  <c r="L135" i="3" s="1"/>
  <c r="K136" i="3"/>
  <c r="L136" i="3" s="1"/>
  <c r="K137" i="3"/>
  <c r="L137" i="3" s="1"/>
  <c r="K138" i="3"/>
  <c r="L138" i="3" s="1"/>
  <c r="K139" i="3"/>
  <c r="L139" i="3" s="1"/>
  <c r="K140" i="3"/>
  <c r="L140" i="3" s="1"/>
  <c r="K141" i="3"/>
  <c r="L141" i="3" s="1"/>
  <c r="K123" i="3"/>
  <c r="L123" i="3" s="1"/>
  <c r="K104" i="3"/>
  <c r="L104" i="3" s="1"/>
  <c r="K105" i="3"/>
  <c r="L105" i="3" s="1"/>
  <c r="K106" i="3"/>
  <c r="L106" i="3" s="1"/>
  <c r="K107" i="3"/>
  <c r="L107" i="3" s="1"/>
  <c r="K108" i="3"/>
  <c r="L108" i="3" s="1"/>
  <c r="K109" i="3"/>
  <c r="L109" i="3" s="1"/>
  <c r="K110" i="3"/>
  <c r="L110" i="3" s="1"/>
  <c r="K111" i="3"/>
  <c r="L111" i="3" s="1"/>
  <c r="K112" i="3"/>
  <c r="L112" i="3" s="1"/>
  <c r="K113" i="3"/>
  <c r="L113" i="3" s="1"/>
  <c r="K114" i="3"/>
  <c r="L114" i="3" s="1"/>
  <c r="K115" i="3"/>
  <c r="L115" i="3" s="1"/>
  <c r="K116" i="3"/>
  <c r="L116" i="3" s="1"/>
  <c r="K117" i="3"/>
  <c r="L117" i="3" s="1"/>
  <c r="K118" i="3"/>
  <c r="L118" i="3" s="1"/>
  <c r="K119" i="3"/>
  <c r="L119" i="3" s="1"/>
  <c r="K120" i="3"/>
  <c r="L120" i="3" s="1"/>
  <c r="K121" i="3"/>
  <c r="L121" i="3" s="1"/>
  <c r="K103" i="3"/>
  <c r="L103" i="3" s="1"/>
  <c r="K84" i="3"/>
  <c r="L84" i="3" s="1"/>
  <c r="K85" i="3"/>
  <c r="L85" i="3" s="1"/>
  <c r="K86" i="3"/>
  <c r="L86" i="3" s="1"/>
  <c r="K87" i="3"/>
  <c r="L87" i="3" s="1"/>
  <c r="K88" i="3"/>
  <c r="L88" i="3" s="1"/>
  <c r="K89" i="3"/>
  <c r="L89" i="3" s="1"/>
  <c r="K90" i="3"/>
  <c r="L90" i="3" s="1"/>
  <c r="K91" i="3"/>
  <c r="L91" i="3" s="1"/>
  <c r="K92" i="3"/>
  <c r="L92" i="3" s="1"/>
  <c r="K93" i="3"/>
  <c r="L93" i="3" s="1"/>
  <c r="K94" i="3"/>
  <c r="L94" i="3" s="1"/>
  <c r="K95" i="3"/>
  <c r="L95" i="3" s="1"/>
  <c r="K96" i="3"/>
  <c r="L96" i="3" s="1"/>
  <c r="K97" i="3"/>
  <c r="L97" i="3" s="1"/>
  <c r="K98" i="3"/>
  <c r="L98" i="3" s="1"/>
  <c r="K99" i="3"/>
  <c r="L99" i="3" s="1"/>
  <c r="K100" i="3"/>
  <c r="L100" i="3" s="1"/>
  <c r="K101" i="3"/>
  <c r="L101" i="3" s="1"/>
  <c r="K83" i="3"/>
  <c r="L83" i="3" s="1"/>
  <c r="K64" i="3"/>
  <c r="L64" i="3" s="1"/>
  <c r="K65" i="3"/>
  <c r="L65" i="3" s="1"/>
  <c r="K66" i="3"/>
  <c r="L66" i="3" s="1"/>
  <c r="K67" i="3"/>
  <c r="L67" i="3" s="1"/>
  <c r="K68" i="3"/>
  <c r="L68" i="3" s="1"/>
  <c r="K69" i="3"/>
  <c r="L69" i="3" s="1"/>
  <c r="K70" i="3"/>
  <c r="L70" i="3" s="1"/>
  <c r="K71" i="3"/>
  <c r="L71" i="3" s="1"/>
  <c r="K72" i="3"/>
  <c r="L72" i="3" s="1"/>
  <c r="K73" i="3"/>
  <c r="L73" i="3" s="1"/>
  <c r="K74" i="3"/>
  <c r="L74" i="3" s="1"/>
  <c r="K75" i="3"/>
  <c r="L75" i="3" s="1"/>
  <c r="K76" i="3"/>
  <c r="L76" i="3" s="1"/>
  <c r="K77" i="3"/>
  <c r="L77" i="3" s="1"/>
  <c r="K78" i="3"/>
  <c r="L78" i="3" s="1"/>
  <c r="K79" i="3"/>
  <c r="L79" i="3" s="1"/>
  <c r="K80" i="3"/>
  <c r="L80" i="3" s="1"/>
  <c r="K81" i="3"/>
  <c r="L81" i="3" s="1"/>
  <c r="K63" i="3"/>
  <c r="L63" i="3" s="1"/>
  <c r="K44" i="3"/>
  <c r="L44" i="3" s="1"/>
  <c r="K45" i="3"/>
  <c r="L45" i="3" s="1"/>
  <c r="K46" i="3"/>
  <c r="L46" i="3" s="1"/>
  <c r="K47" i="3"/>
  <c r="L47" i="3" s="1"/>
  <c r="K48" i="3"/>
  <c r="L48" i="3" s="1"/>
  <c r="K49" i="3"/>
  <c r="L49" i="3" s="1"/>
  <c r="K50" i="3"/>
  <c r="L50" i="3" s="1"/>
  <c r="K51" i="3"/>
  <c r="L51" i="3" s="1"/>
  <c r="K52" i="3"/>
  <c r="L52" i="3" s="1"/>
  <c r="K53" i="3"/>
  <c r="L53" i="3" s="1"/>
  <c r="K54" i="3"/>
  <c r="L54" i="3" s="1"/>
  <c r="K55" i="3"/>
  <c r="L55" i="3" s="1"/>
  <c r="K56" i="3"/>
  <c r="L56" i="3" s="1"/>
  <c r="K57" i="3"/>
  <c r="L57" i="3" s="1"/>
  <c r="K58" i="3"/>
  <c r="L58" i="3" s="1"/>
  <c r="K59" i="3"/>
  <c r="L59" i="3" s="1"/>
  <c r="K60" i="3"/>
  <c r="L60" i="3" s="1"/>
  <c r="K61" i="3"/>
  <c r="L61" i="3" s="1"/>
  <c r="K43" i="3"/>
  <c r="L43" i="3" s="1"/>
  <c r="K24" i="3"/>
  <c r="L24" i="3" s="1"/>
  <c r="K25" i="3"/>
  <c r="L25" i="3" s="1"/>
  <c r="K26" i="3"/>
  <c r="L26" i="3" s="1"/>
  <c r="K27" i="3"/>
  <c r="L27" i="3" s="1"/>
  <c r="K28" i="3"/>
  <c r="L28" i="3" s="1"/>
  <c r="K29" i="3"/>
  <c r="L29" i="3" s="1"/>
  <c r="K30" i="3"/>
  <c r="L30" i="3" s="1"/>
  <c r="K31" i="3"/>
  <c r="L31" i="3" s="1"/>
  <c r="K32" i="3"/>
  <c r="L32" i="3" s="1"/>
  <c r="K33" i="3"/>
  <c r="L33" i="3" s="1"/>
  <c r="K34" i="3"/>
  <c r="L34" i="3" s="1"/>
  <c r="K35" i="3"/>
  <c r="L35" i="3" s="1"/>
  <c r="K36" i="3"/>
  <c r="L36" i="3" s="1"/>
  <c r="K37" i="3"/>
  <c r="L37" i="3" s="1"/>
  <c r="K38" i="3"/>
  <c r="L38" i="3" s="1"/>
  <c r="K39" i="3"/>
  <c r="L39" i="3" s="1"/>
  <c r="K40" i="3"/>
  <c r="L40" i="3" s="1"/>
  <c r="K41" i="3"/>
  <c r="L41" i="3" s="1"/>
  <c r="K23" i="3"/>
  <c r="L23" i="3" s="1"/>
  <c r="K4" i="3"/>
  <c r="L4" i="3" s="1"/>
  <c r="K5" i="3"/>
  <c r="L5" i="3" s="1"/>
  <c r="K6" i="3"/>
  <c r="L6" i="3" s="1"/>
  <c r="K7" i="3"/>
  <c r="L7" i="3" s="1"/>
  <c r="K8" i="3"/>
  <c r="L8" i="3" s="1"/>
  <c r="K9" i="3"/>
  <c r="L9" i="3" s="1"/>
  <c r="K10" i="3"/>
  <c r="L10" i="3" s="1"/>
  <c r="K11" i="3"/>
  <c r="L11" i="3" s="1"/>
  <c r="K12" i="3"/>
  <c r="L12" i="3" s="1"/>
  <c r="K13" i="3"/>
  <c r="L13" i="3" s="1"/>
  <c r="K14" i="3"/>
  <c r="L14" i="3" s="1"/>
  <c r="K15" i="3"/>
  <c r="L15" i="3" s="1"/>
  <c r="K16" i="3"/>
  <c r="L16" i="3" s="1"/>
  <c r="K17" i="3"/>
  <c r="L17" i="3" s="1"/>
  <c r="K18" i="3"/>
  <c r="L18" i="3" s="1"/>
  <c r="K19" i="3"/>
  <c r="L19" i="3" s="1"/>
  <c r="K20" i="3"/>
  <c r="L20" i="3" s="1"/>
  <c r="K21" i="3"/>
  <c r="L21" i="3" s="1"/>
  <c r="K3" i="3"/>
  <c r="L3" i="3" s="1"/>
  <c r="T27" i="2" a="1"/>
  <c r="T27" i="2" s="1"/>
  <c r="V27" i="2" s="1"/>
  <c r="T19" i="2" a="1"/>
  <c r="T19" i="2" s="1"/>
  <c r="V19" i="2" s="1"/>
  <c r="T11" i="2" a="1"/>
  <c r="T11" i="2" s="1"/>
  <c r="V11" i="2" s="1"/>
  <c r="U3" i="2" a="1"/>
  <c r="U3" i="2" s="1"/>
  <c r="W3" i="2" s="1"/>
  <c r="H35" i="2"/>
  <c r="I35" i="2" s="1"/>
  <c r="H36" i="2"/>
  <c r="I36" i="2" s="1"/>
  <c r="H37" i="2"/>
  <c r="I37" i="2" s="1"/>
  <c r="H34" i="2"/>
  <c r="I34" i="2" s="1"/>
  <c r="H30" i="2"/>
  <c r="I30" i="2" s="1"/>
  <c r="H31" i="2"/>
  <c r="I31" i="2" s="1"/>
  <c r="H32" i="2"/>
  <c r="I32" i="2" s="1"/>
  <c r="H29" i="2"/>
  <c r="I29" i="2" s="1"/>
  <c r="H25" i="2"/>
  <c r="I25" i="2" s="1"/>
  <c r="H26" i="2"/>
  <c r="I26" i="2" s="1"/>
  <c r="H27" i="2"/>
  <c r="I27" i="2" s="1"/>
  <c r="H24" i="2"/>
  <c r="I24" i="2" s="1"/>
  <c r="H20" i="2"/>
  <c r="I20" i="2" s="1"/>
  <c r="H21" i="2"/>
  <c r="I21" i="2" s="1"/>
  <c r="H22" i="2"/>
  <c r="I22" i="2" s="1"/>
  <c r="H19" i="2"/>
  <c r="I19" i="2" s="1"/>
  <c r="H15" i="2"/>
  <c r="I15" i="2" s="1"/>
  <c r="H16" i="2"/>
  <c r="I16" i="2" s="1"/>
  <c r="H17" i="2"/>
  <c r="I17" i="2" s="1"/>
  <c r="H14" i="2"/>
  <c r="I14" i="2" s="1"/>
  <c r="H10" i="2"/>
  <c r="I10" i="2" s="1"/>
  <c r="H11" i="2"/>
  <c r="I11" i="2" s="1"/>
  <c r="H12" i="2"/>
  <c r="I12" i="2" s="1"/>
  <c r="H9" i="2"/>
  <c r="I9" i="2" s="1"/>
  <c r="H5" i="2"/>
  <c r="I5" i="2" s="1"/>
  <c r="H6" i="2"/>
  <c r="I6" i="2" s="1"/>
  <c r="H7" i="2"/>
  <c r="I7" i="2" s="1"/>
  <c r="H4" i="2"/>
  <c r="I4" i="2" s="1"/>
  <c r="F35" i="2"/>
  <c r="G35" i="2" s="1"/>
  <c r="F36" i="2"/>
  <c r="G36" i="2" s="1"/>
  <c r="F37" i="2"/>
  <c r="G37" i="2" s="1"/>
  <c r="F34" i="2"/>
  <c r="G34" i="2" s="1"/>
  <c r="F30" i="2"/>
  <c r="G30" i="2" s="1"/>
  <c r="F31" i="2"/>
  <c r="G31" i="2" s="1"/>
  <c r="F32" i="2"/>
  <c r="G32" i="2" s="1"/>
  <c r="F29" i="2"/>
  <c r="G29" i="2" s="1"/>
  <c r="F25" i="2"/>
  <c r="G25" i="2" s="1"/>
  <c r="F26" i="2"/>
  <c r="G26" i="2" s="1"/>
  <c r="F27" i="2"/>
  <c r="G27" i="2" s="1"/>
  <c r="F24" i="2"/>
  <c r="G24" i="2" s="1"/>
  <c r="F20" i="2"/>
  <c r="G20" i="2" s="1"/>
  <c r="F21" i="2"/>
  <c r="G21" i="2" s="1"/>
  <c r="F22" i="2"/>
  <c r="G22" i="2" s="1"/>
  <c r="F19" i="2"/>
  <c r="G19" i="2" s="1"/>
  <c r="F15" i="2"/>
  <c r="G15" i="2" s="1"/>
  <c r="F16" i="2"/>
  <c r="G16" i="2" s="1"/>
  <c r="F17" i="2"/>
  <c r="G17" i="2" s="1"/>
  <c r="F14" i="2"/>
  <c r="G14" i="2" s="1"/>
  <c r="F10" i="2"/>
  <c r="G10" i="2" s="1"/>
  <c r="F11" i="2"/>
  <c r="F12" i="2"/>
  <c r="G12" i="2" s="1"/>
  <c r="F9" i="2"/>
  <c r="G9" i="2" s="1"/>
  <c r="F5" i="2"/>
  <c r="G5" i="2" s="1"/>
  <c r="F6" i="2"/>
  <c r="G6" i="2" s="1"/>
  <c r="F7" i="2"/>
  <c r="G7" i="2" s="1"/>
  <c r="F4" i="2"/>
  <c r="G4" i="2" s="1"/>
  <c r="R38" i="3" l="1"/>
  <c r="S38" i="3" s="1"/>
  <c r="R138" i="3"/>
  <c r="S138" i="3" s="1"/>
  <c r="R58" i="3"/>
  <c r="S58" i="3" s="1"/>
  <c r="AU9" i="3"/>
  <c r="AU8" i="3"/>
  <c r="AU7" i="3"/>
  <c r="AU6" i="3"/>
  <c r="AU5" i="3"/>
  <c r="AU4" i="3"/>
  <c r="AU3" i="3"/>
  <c r="R118" i="3"/>
  <c r="S118" i="3" s="1"/>
  <c r="R78" i="3"/>
  <c r="S78" i="3" s="1"/>
  <c r="AT40" i="3"/>
  <c r="AT115" i="3"/>
  <c r="R95" i="3"/>
  <c r="S95" i="3" s="1"/>
  <c r="AT7" i="3"/>
  <c r="AT6" i="3"/>
  <c r="R158" i="3"/>
  <c r="S158" i="3" s="1"/>
  <c r="AT39" i="3"/>
  <c r="AT48" i="3"/>
  <c r="AT79" i="3"/>
  <c r="AT78" i="3"/>
  <c r="AT76" i="3"/>
  <c r="AT111" i="3"/>
  <c r="AT121" i="3"/>
  <c r="AT148" i="3"/>
  <c r="AT147" i="3"/>
  <c r="AT49" i="3"/>
  <c r="AT120" i="3"/>
  <c r="AT133" i="3"/>
  <c r="AT132" i="3"/>
  <c r="AT130" i="3"/>
  <c r="AT129" i="3"/>
  <c r="AT4" i="3"/>
  <c r="AT75" i="3"/>
  <c r="AT139" i="3"/>
  <c r="AT3" i="3"/>
  <c r="AT97" i="3"/>
  <c r="AT138" i="3"/>
  <c r="AT25" i="3"/>
  <c r="AT96" i="3"/>
  <c r="AT151" i="3"/>
  <c r="AT24" i="3"/>
  <c r="AT94" i="3"/>
  <c r="AT150" i="3"/>
  <c r="AT22" i="3"/>
  <c r="AT103" i="3"/>
  <c r="AT31" i="3"/>
  <c r="AT102" i="3"/>
  <c r="AT30" i="3"/>
  <c r="AT169" i="3"/>
  <c r="AT43" i="3"/>
  <c r="AT114" i="3"/>
  <c r="AT168" i="3"/>
  <c r="AT42" i="3"/>
  <c r="AT112" i="3"/>
  <c r="AT166" i="3"/>
  <c r="AT60" i="3"/>
  <c r="AT5" i="3"/>
  <c r="AT23" i="3"/>
  <c r="AT41" i="3"/>
  <c r="AT59" i="3"/>
  <c r="AT77" i="3"/>
  <c r="AT95" i="3"/>
  <c r="AT113" i="3"/>
  <c r="AT131" i="3"/>
  <c r="AT149" i="3"/>
  <c r="AT167" i="3"/>
  <c r="AT21" i="3"/>
  <c r="AT57" i="3"/>
  <c r="AT93" i="3"/>
  <c r="AT165" i="3"/>
  <c r="AT18" i="3"/>
  <c r="AT36" i="3"/>
  <c r="AT54" i="3"/>
  <c r="AT72" i="3"/>
  <c r="AT90" i="3"/>
  <c r="AT108" i="3"/>
  <c r="AT126" i="3"/>
  <c r="AT144" i="3"/>
  <c r="AT162" i="3"/>
  <c r="AT17" i="3"/>
  <c r="AT35" i="3"/>
  <c r="AT53" i="3"/>
  <c r="AT71" i="3"/>
  <c r="AT89" i="3"/>
  <c r="AT107" i="3"/>
  <c r="AT125" i="3"/>
  <c r="AT143" i="3"/>
  <c r="AT161" i="3"/>
  <c r="AT16" i="3"/>
  <c r="AT34" i="3"/>
  <c r="AT52" i="3"/>
  <c r="AT70" i="3"/>
  <c r="AT88" i="3"/>
  <c r="AT106" i="3"/>
  <c r="AT124" i="3"/>
  <c r="AT142" i="3"/>
  <c r="AT160" i="3"/>
  <c r="AT15" i="3"/>
  <c r="AT33" i="3"/>
  <c r="AT51" i="3"/>
  <c r="AT69" i="3"/>
  <c r="AT87" i="3"/>
  <c r="AT105" i="3"/>
  <c r="AT123" i="3"/>
  <c r="AT141" i="3"/>
  <c r="AT159" i="3"/>
  <c r="AT58" i="3"/>
  <c r="AT14" i="3"/>
  <c r="AT32" i="3"/>
  <c r="AT50" i="3"/>
  <c r="AT68" i="3"/>
  <c r="AT86" i="3"/>
  <c r="AT104" i="3"/>
  <c r="AT122" i="3"/>
  <c r="AT140" i="3"/>
  <c r="AT158" i="3"/>
  <c r="AT13" i="3"/>
  <c r="AT67" i="3"/>
  <c r="AT85" i="3"/>
  <c r="AT157" i="3"/>
  <c r="AT12" i="3"/>
  <c r="AT66" i="3"/>
  <c r="AT84" i="3"/>
  <c r="AT156" i="3"/>
  <c r="AT9" i="3"/>
  <c r="AT27" i="3"/>
  <c r="AT45" i="3"/>
  <c r="AT63" i="3"/>
  <c r="AT81" i="3"/>
  <c r="AT99" i="3"/>
  <c r="AT117" i="3"/>
  <c r="AT135" i="3"/>
  <c r="AT153" i="3"/>
  <c r="AT171" i="3"/>
  <c r="AT61" i="3"/>
  <c r="R110" i="3"/>
  <c r="S110" i="3" s="1"/>
  <c r="AT8" i="3"/>
  <c r="AT26" i="3"/>
  <c r="AT44" i="3"/>
  <c r="AT62" i="3"/>
  <c r="AT80" i="3"/>
  <c r="AT98" i="3"/>
  <c r="AT116" i="3"/>
  <c r="AT134" i="3"/>
  <c r="AT152" i="3"/>
  <c r="AT170" i="3"/>
  <c r="R94" i="3"/>
  <c r="S94" i="3" s="1"/>
  <c r="R154" i="3"/>
  <c r="S154" i="3" s="1"/>
  <c r="R135" i="3"/>
  <c r="S135" i="3" s="1"/>
  <c r="R106" i="3"/>
  <c r="S106" i="3" s="1"/>
  <c r="R90" i="3"/>
  <c r="S90" i="3" s="1"/>
  <c r="R74" i="3"/>
  <c r="S74" i="3" s="1"/>
  <c r="R152" i="3"/>
  <c r="S152" i="3" s="1"/>
  <c r="R120" i="3"/>
  <c r="S120" i="3" s="1"/>
  <c r="R104" i="3"/>
  <c r="S104" i="3" s="1"/>
  <c r="R72" i="3"/>
  <c r="S72" i="3" s="1"/>
  <c r="R40" i="3"/>
  <c r="S40" i="3" s="1"/>
  <c r="R24" i="3"/>
  <c r="S24" i="3" s="1"/>
  <c r="R85" i="3"/>
  <c r="S85" i="3" s="1"/>
  <c r="R149" i="3"/>
  <c r="S149" i="3" s="1"/>
  <c r="R117" i="3"/>
  <c r="S117" i="3" s="1"/>
  <c r="R69" i="3"/>
  <c r="S69" i="3" s="1"/>
  <c r="R148" i="3"/>
  <c r="S148" i="3" s="1"/>
  <c r="R116" i="3"/>
  <c r="S116" i="3" s="1"/>
  <c r="R68" i="3"/>
  <c r="S68" i="3" s="1"/>
  <c r="AH13" i="3" a="1"/>
  <c r="AH13" i="3" s="1"/>
  <c r="R98" i="3"/>
  <c r="S98" i="3" s="1"/>
  <c r="R101" i="3"/>
  <c r="S101" i="3" s="1"/>
  <c r="R35" i="3"/>
  <c r="S35" i="3" s="1"/>
  <c r="R155" i="3"/>
  <c r="S155" i="3" s="1"/>
  <c r="R107" i="3"/>
  <c r="S107" i="3" s="1"/>
  <c r="R75" i="3"/>
  <c r="S75" i="3" s="1"/>
  <c r="R27" i="3"/>
  <c r="S27" i="3" s="1"/>
  <c r="R153" i="3"/>
  <c r="S153" i="3" s="1"/>
  <c r="R121" i="3"/>
  <c r="S121" i="3" s="1"/>
  <c r="R105" i="3"/>
  <c r="S105" i="3" s="1"/>
  <c r="R73" i="3"/>
  <c r="S73" i="3" s="1"/>
  <c r="R41" i="3"/>
  <c r="S41" i="3" s="1"/>
  <c r="R25" i="3"/>
  <c r="S25" i="3" s="1"/>
  <c r="R119" i="3"/>
  <c r="S119" i="3" s="1"/>
  <c r="R71" i="3"/>
  <c r="S71" i="3" s="1"/>
  <c r="R115" i="3"/>
  <c r="S115" i="3" s="1"/>
  <c r="R67" i="3"/>
  <c r="S67" i="3" s="1"/>
  <c r="R146" i="3"/>
  <c r="S146" i="3" s="1"/>
  <c r="R114" i="3"/>
  <c r="S114" i="3" s="1"/>
  <c r="R66" i="3"/>
  <c r="S66" i="3" s="1"/>
  <c r="R34" i="3"/>
  <c r="S34" i="3" s="1"/>
  <c r="AD16" i="3" a="1"/>
  <c r="AD16" i="3" s="1"/>
  <c r="R161" i="3"/>
  <c r="S161" i="3" s="1"/>
  <c r="R145" i="3"/>
  <c r="S145" i="3" s="1"/>
  <c r="R113" i="3"/>
  <c r="S113" i="3" s="1"/>
  <c r="R81" i="3"/>
  <c r="S81" i="3" s="1"/>
  <c r="R65" i="3"/>
  <c r="S65" i="3" s="1"/>
  <c r="Z15" i="3" a="1"/>
  <c r="Z15" i="3" s="1"/>
  <c r="R160" i="3"/>
  <c r="S160" i="3" s="1"/>
  <c r="R144" i="3"/>
  <c r="S144" i="3" s="1"/>
  <c r="R80" i="3"/>
  <c r="S80" i="3" s="1"/>
  <c r="R64" i="3"/>
  <c r="S64" i="3" s="1"/>
  <c r="R147" i="3"/>
  <c r="S147" i="3" s="1"/>
  <c r="R157" i="3"/>
  <c r="S157" i="3" s="1"/>
  <c r="R141" i="3"/>
  <c r="S141" i="3" s="1"/>
  <c r="R125" i="3"/>
  <c r="S125" i="3" s="1"/>
  <c r="R109" i="3"/>
  <c r="S109" i="3" s="1"/>
  <c r="R77" i="3"/>
  <c r="S77" i="3" s="1"/>
  <c r="AH3" i="3" a="1"/>
  <c r="AH3" i="3" s="1"/>
  <c r="R156" i="3"/>
  <c r="S156" i="3" s="1"/>
  <c r="R108" i="3"/>
  <c r="S108" i="3" s="1"/>
  <c r="R76" i="3"/>
  <c r="S76" i="3" s="1"/>
  <c r="R28" i="3"/>
  <c r="S28" i="3" s="1"/>
  <c r="AE6" i="3" a="1"/>
  <c r="AE6" i="3" s="1"/>
  <c r="AE19" i="3" a="1"/>
  <c r="AE19" i="3" s="1"/>
  <c r="R133" i="3"/>
  <c r="S133" i="3" s="1"/>
  <c r="R53" i="3"/>
  <c r="S53" i="3" s="1"/>
  <c r="AI16" i="3" a="1"/>
  <c r="AI16" i="3" s="1"/>
  <c r="AD17" i="3" a="1"/>
  <c r="AD17" i="3" s="1"/>
  <c r="R21" i="3"/>
  <c r="S21" i="3" s="1"/>
  <c r="R132" i="3"/>
  <c r="S132" i="3" s="1"/>
  <c r="R100" i="3"/>
  <c r="S100" i="3" s="1"/>
  <c r="R84" i="3"/>
  <c r="S84" i="3" s="1"/>
  <c r="R52" i="3"/>
  <c r="S52" i="3" s="1"/>
  <c r="AJ16" i="3" a="1"/>
  <c r="AJ16" i="3" s="1"/>
  <c r="R131" i="3"/>
  <c r="S131" i="3" s="1"/>
  <c r="R99" i="3"/>
  <c r="S99" i="3" s="1"/>
  <c r="R83" i="3"/>
  <c r="S83" i="3" s="1"/>
  <c r="R51" i="3"/>
  <c r="S51" i="3" s="1"/>
  <c r="AB7" i="3" a="1"/>
  <c r="AB7" i="3" s="1"/>
  <c r="AF5" i="3" a="1"/>
  <c r="AF5" i="3" s="1"/>
  <c r="R129" i="3"/>
  <c r="S129" i="3" s="1"/>
  <c r="R97" i="3"/>
  <c r="S97" i="3" s="1"/>
  <c r="R49" i="3"/>
  <c r="S49" i="3" s="1"/>
  <c r="AC13" i="3" a="1"/>
  <c r="AC13" i="3" s="1"/>
  <c r="AB6" i="3" a="1"/>
  <c r="AB6" i="3" s="1"/>
  <c r="AB3" i="3" a="1"/>
  <c r="AB3" i="3" s="1"/>
  <c r="AE3" i="3" a="1"/>
  <c r="AE3" i="3" s="1"/>
  <c r="R130" i="3"/>
  <c r="S130" i="3" s="1"/>
  <c r="R96" i="3"/>
  <c r="S96" i="3" s="1"/>
  <c r="R48" i="3"/>
  <c r="S48" i="3" s="1"/>
  <c r="R16" i="3"/>
  <c r="S16" i="3" s="1"/>
  <c r="R159" i="3"/>
  <c r="S159" i="3" s="1"/>
  <c r="R143" i="3"/>
  <c r="S143" i="3" s="1"/>
  <c r="R127" i="3"/>
  <c r="S127" i="3" s="1"/>
  <c r="R111" i="3"/>
  <c r="S111" i="3" s="1"/>
  <c r="R79" i="3"/>
  <c r="S79" i="3" s="1"/>
  <c r="R63" i="3"/>
  <c r="S63" i="3" s="1"/>
  <c r="R47" i="3"/>
  <c r="S47" i="3" s="1"/>
  <c r="AC11" i="3" a="1"/>
  <c r="AC11" i="3" s="1"/>
  <c r="R50" i="3"/>
  <c r="S50" i="3" s="1"/>
  <c r="R128" i="3"/>
  <c r="S128" i="3" s="1"/>
  <c r="AE20" i="3" a="1"/>
  <c r="AE20" i="3" s="1"/>
  <c r="R126" i="3"/>
  <c r="S126" i="3" s="1"/>
  <c r="R46" i="3"/>
  <c r="S46" i="3" s="1"/>
  <c r="AI5" i="3" a="1"/>
  <c r="AI5" i="3" s="1"/>
  <c r="AE18" i="3" a="1"/>
  <c r="AE18" i="3" s="1"/>
  <c r="R93" i="3"/>
  <c r="S93" i="3" s="1"/>
  <c r="R61" i="3"/>
  <c r="S61" i="3" s="1"/>
  <c r="R45" i="3"/>
  <c r="S45" i="3" s="1"/>
  <c r="AB9" i="3" a="1"/>
  <c r="AB9" i="3" s="1"/>
  <c r="AD13" i="3" a="1"/>
  <c r="AD13" i="3" s="1"/>
  <c r="AF19" i="3" a="1"/>
  <c r="AF19" i="3" s="1"/>
  <c r="R13" i="3"/>
  <c r="S13" i="3" s="1"/>
  <c r="R140" i="3"/>
  <c r="S140" i="3" s="1"/>
  <c r="R124" i="3"/>
  <c r="S124" i="3" s="1"/>
  <c r="R92" i="3"/>
  <c r="S92" i="3" s="1"/>
  <c r="R60" i="3"/>
  <c r="S60" i="3" s="1"/>
  <c r="R44" i="3"/>
  <c r="S44" i="3" s="1"/>
  <c r="AG12" i="3" a="1"/>
  <c r="AG12" i="3" s="1"/>
  <c r="AG15" i="3" a="1"/>
  <c r="AG15" i="3" s="1"/>
  <c r="AB8" i="3" a="1"/>
  <c r="AB8" i="3" s="1"/>
  <c r="AH16" i="3" a="1"/>
  <c r="AH16" i="3" s="1"/>
  <c r="AE17" i="3" a="1"/>
  <c r="AE17" i="3" s="1"/>
  <c r="AD12" i="3" a="1"/>
  <c r="AD12" i="3" s="1"/>
  <c r="R12" i="3"/>
  <c r="S12" i="3" s="1"/>
  <c r="R139" i="3"/>
  <c r="S139" i="3" s="1"/>
  <c r="R123" i="3"/>
  <c r="S123" i="3" s="1"/>
  <c r="R91" i="3"/>
  <c r="S91" i="3" s="1"/>
  <c r="R59" i="3"/>
  <c r="S59" i="3" s="1"/>
  <c r="R43" i="3"/>
  <c r="S43" i="3" s="1"/>
  <c r="AG11" i="3" a="1"/>
  <c r="AG11" i="3" s="1"/>
  <c r="AG14" i="3" a="1"/>
  <c r="AG14" i="3" s="1"/>
  <c r="AE15" i="3" a="1"/>
  <c r="AE15" i="3" s="1"/>
  <c r="AI2" i="3" a="1"/>
  <c r="AI2" i="3" s="1"/>
  <c r="R10" i="3"/>
  <c r="S10" i="3" s="1"/>
  <c r="R137" i="3"/>
  <c r="S137" i="3" s="1"/>
  <c r="R89" i="3"/>
  <c r="S89" i="3" s="1"/>
  <c r="R56" i="3"/>
  <c r="S56" i="3" s="1"/>
  <c r="AJ15" i="3" a="1"/>
  <c r="AJ15" i="3" s="1"/>
  <c r="R9" i="3"/>
  <c r="S9" i="3" s="1"/>
  <c r="R136" i="3"/>
  <c r="S136" i="3" s="1"/>
  <c r="AF8" i="3" a="1"/>
  <c r="AF8" i="3" s="1"/>
  <c r="AK20" i="3" a="1"/>
  <c r="AK20" i="3" s="1"/>
  <c r="R151" i="3"/>
  <c r="S151" i="3" s="1"/>
  <c r="R103" i="3"/>
  <c r="S103" i="3" s="1"/>
  <c r="R87" i="3"/>
  <c r="S87" i="3" s="1"/>
  <c r="R55" i="3"/>
  <c r="S55" i="3" s="1"/>
  <c r="AD19" i="3" a="1"/>
  <c r="AD19" i="3" s="1"/>
  <c r="AK5" i="3" a="1"/>
  <c r="AK5" i="3" s="1"/>
  <c r="R88" i="3"/>
  <c r="S88" i="3" s="1"/>
  <c r="AK16" i="3" a="1"/>
  <c r="AK16" i="3" s="1"/>
  <c r="R7" i="3"/>
  <c r="S7" i="3" s="1"/>
  <c r="R150" i="3"/>
  <c r="S150" i="3" s="1"/>
  <c r="R134" i="3"/>
  <c r="S134" i="3" s="1"/>
  <c r="R112" i="3"/>
  <c r="S112" i="3" s="1"/>
  <c r="R86" i="3"/>
  <c r="S86" i="3" s="1"/>
  <c r="R70" i="3"/>
  <c r="S70" i="3" s="1"/>
  <c r="R54" i="3"/>
  <c r="S54" i="3" s="1"/>
  <c r="AD18" i="3" a="1"/>
  <c r="AD18" i="3" s="1"/>
  <c r="Z16" i="3" a="1"/>
  <c r="Z16" i="3" s="1"/>
  <c r="AC12" i="3" a="1"/>
  <c r="AC12" i="3" s="1"/>
  <c r="AC8" i="3" a="1"/>
  <c r="AC8" i="3" s="1"/>
  <c r="AF2" i="3" a="1"/>
  <c r="AF2" i="3" s="1"/>
  <c r="Q25" i="3"/>
  <c r="AI4" i="3" s="1" a="1"/>
  <c r="AI4" i="3" s="1"/>
  <c r="AK4" i="3" a="1"/>
  <c r="AK4" i="3" s="1"/>
  <c r="Q140" i="3"/>
  <c r="AI19" i="3" s="1" a="1"/>
  <c r="AI19" i="3" s="1"/>
  <c r="AK19" i="3" a="1"/>
  <c r="AK19" i="3" s="1"/>
  <c r="AI3" i="3" a="1"/>
  <c r="AI3" i="3" s="1"/>
  <c r="AI6" i="3" a="1"/>
  <c r="AI6" i="3" s="1"/>
  <c r="AI7" i="3" a="1"/>
  <c r="AI7" i="3" s="1"/>
  <c r="AE5" i="3" a="1"/>
  <c r="AE5" i="3" s="1"/>
  <c r="AK6" i="3" a="1"/>
  <c r="AK6" i="3" s="1"/>
  <c r="AE2" i="3" a="1"/>
  <c r="AE2" i="3" s="1"/>
  <c r="AI18" i="3" a="1"/>
  <c r="AI18" i="3" s="1"/>
  <c r="AB20" i="3" a="1"/>
  <c r="AB20" i="3" s="1"/>
  <c r="AD15" i="3" a="1"/>
  <c r="AD15" i="3" s="1"/>
  <c r="AF10" i="3" a="1"/>
  <c r="AF10" i="3" s="1"/>
  <c r="AJ14" i="3" a="1"/>
  <c r="AJ14" i="3" s="1"/>
  <c r="R11" i="3"/>
  <c r="S11" i="3" s="1"/>
  <c r="R57" i="3"/>
  <c r="S57" i="3" s="1"/>
  <c r="R26" i="3"/>
  <c r="S26" i="3" s="1"/>
  <c r="Z14" i="3" a="1"/>
  <c r="Z14" i="3" s="1"/>
  <c r="AB19" i="3" a="1"/>
  <c r="AB19" i="3" s="1"/>
  <c r="AB5" i="3" a="1"/>
  <c r="AB5" i="3" s="1"/>
  <c r="AC10" i="3" a="1"/>
  <c r="AC10" i="3" s="1"/>
  <c r="AD14" i="3" a="1"/>
  <c r="AD14" i="3" s="1"/>
  <c r="AE4" i="3" a="1"/>
  <c r="AE4" i="3" s="1"/>
  <c r="AF9" i="3" a="1"/>
  <c r="AF9" i="3" s="1"/>
  <c r="AG13" i="3" a="1"/>
  <c r="AG13" i="3" s="1"/>
  <c r="AH17" i="3" a="1"/>
  <c r="AH17" i="3" s="1"/>
  <c r="AI20" i="3" a="1"/>
  <c r="AI20" i="3" s="1"/>
  <c r="AJ13" i="3" a="1"/>
  <c r="AJ13" i="3" s="1"/>
  <c r="AK18" i="3" a="1"/>
  <c r="AK18" i="3" s="1"/>
  <c r="AK3" i="3" a="1"/>
  <c r="AK3" i="3" s="1"/>
  <c r="AJ12" i="3" a="1"/>
  <c r="AJ12" i="3" s="1"/>
  <c r="AB18" i="3" a="1"/>
  <c r="AB18" i="3" s="1"/>
  <c r="R8" i="3"/>
  <c r="S8" i="3" s="1"/>
  <c r="R39" i="3"/>
  <c r="S39" i="3" s="1"/>
  <c r="R23" i="3"/>
  <c r="S23" i="3" s="1"/>
  <c r="AB17" i="3" a="1"/>
  <c r="AB17" i="3" s="1"/>
  <c r="AC2" i="3" a="1"/>
  <c r="AC2" i="3" s="1"/>
  <c r="AC7" i="3" a="1"/>
  <c r="AC7" i="3" s="1"/>
  <c r="AD11" i="3" a="1"/>
  <c r="AD11" i="3" s="1"/>
  <c r="AE16" i="3" a="1"/>
  <c r="AE16" i="3" s="1"/>
  <c r="AF20" i="3" a="1"/>
  <c r="AF20" i="3" s="1"/>
  <c r="AF6" i="3" a="1"/>
  <c r="AF6" i="3" s="1"/>
  <c r="AH14" i="3" a="1"/>
  <c r="AH14" i="3" s="1"/>
  <c r="AI17" i="3" a="1"/>
  <c r="AI17" i="3" s="1"/>
  <c r="AK15" i="3" a="1"/>
  <c r="AK15" i="3" s="1"/>
  <c r="AG10" i="3" a="1"/>
  <c r="AG10" i="3" s="1"/>
  <c r="AJ10" i="3" a="1"/>
  <c r="AJ10" i="3" s="1"/>
  <c r="AK14" i="3" a="1"/>
  <c r="AK14" i="3" s="1"/>
  <c r="AC6" i="3" a="1"/>
  <c r="AC6" i="3" s="1"/>
  <c r="R6" i="3"/>
  <c r="S6" i="3" s="1"/>
  <c r="R37" i="3"/>
  <c r="S37" i="3" s="1"/>
  <c r="AB15" i="3" a="1"/>
  <c r="AB15" i="3" s="1"/>
  <c r="AC19" i="3" a="1"/>
  <c r="AC19" i="3" s="1"/>
  <c r="AC5" i="3" a="1"/>
  <c r="AC5" i="3" s="1"/>
  <c r="AD10" i="3" a="1"/>
  <c r="AD10" i="3" s="1"/>
  <c r="AE14" i="3" a="1"/>
  <c r="AE14" i="3" s="1"/>
  <c r="AF4" i="3" a="1"/>
  <c r="AF4" i="3" s="1"/>
  <c r="AG9" i="3" a="1"/>
  <c r="AG9" i="3" s="1"/>
  <c r="AH12" i="3" a="1"/>
  <c r="AH12" i="3" s="1"/>
  <c r="AI15" i="3" a="1"/>
  <c r="AI15" i="3" s="1"/>
  <c r="AJ9" i="3" a="1"/>
  <c r="AJ9" i="3" s="1"/>
  <c r="AK13" i="3" a="1"/>
  <c r="AK13" i="3" s="1"/>
  <c r="AJ11" i="3" a="1"/>
  <c r="AJ11" i="3" s="1"/>
  <c r="R5" i="3"/>
  <c r="S5" i="3" s="1"/>
  <c r="R36" i="3"/>
  <c r="S36" i="3" s="1"/>
  <c r="AB14" i="3" a="1"/>
  <c r="AB14" i="3" s="1"/>
  <c r="AC4" i="3" a="1"/>
  <c r="AC4" i="3" s="1"/>
  <c r="AD9" i="3" a="1"/>
  <c r="AD9" i="3" s="1"/>
  <c r="AE13" i="3" a="1"/>
  <c r="AE13" i="3" s="1"/>
  <c r="AF18" i="3" a="1"/>
  <c r="AF18" i="3" s="1"/>
  <c r="AF3" i="3" a="1"/>
  <c r="AF3" i="3" s="1"/>
  <c r="AG8" i="3" a="1"/>
  <c r="AG8" i="3" s="1"/>
  <c r="AH11" i="3" a="1"/>
  <c r="AH11" i="3" s="1"/>
  <c r="AI14" i="3" a="1"/>
  <c r="AI14" i="3" s="1"/>
  <c r="AJ8" i="3" a="1"/>
  <c r="AJ8" i="3" s="1"/>
  <c r="AK12" i="3" a="1"/>
  <c r="AK12" i="3" s="1"/>
  <c r="AB4" i="3" a="1"/>
  <c r="AB4" i="3" s="1"/>
  <c r="AC9" i="3" a="1"/>
  <c r="AC9" i="3" s="1"/>
  <c r="AK17" i="3" a="1"/>
  <c r="AK17" i="3" s="1"/>
  <c r="R20" i="3"/>
  <c r="S20" i="3" s="1"/>
  <c r="R4" i="3"/>
  <c r="S4" i="3" s="1"/>
  <c r="Z2" i="3" a="1"/>
  <c r="Z2" i="3" s="1"/>
  <c r="AB13" i="3" a="1"/>
  <c r="AB13" i="3" s="1"/>
  <c r="AC18" i="3" a="1"/>
  <c r="AC18" i="3" s="1"/>
  <c r="AC3" i="3" a="1"/>
  <c r="AC3" i="3" s="1"/>
  <c r="AD8" i="3" a="1"/>
  <c r="AD8" i="3" s="1"/>
  <c r="AE12" i="3" a="1"/>
  <c r="AE12" i="3" s="1"/>
  <c r="AF17" i="3" a="1"/>
  <c r="AF17" i="3" s="1"/>
  <c r="AG2" i="3" a="1"/>
  <c r="AG2" i="3" s="1"/>
  <c r="AG7" i="3" a="1"/>
  <c r="AG7" i="3" s="1"/>
  <c r="AH10" i="3" a="1"/>
  <c r="AH10" i="3" s="1"/>
  <c r="AI13" i="3" a="1"/>
  <c r="AI13" i="3" s="1"/>
  <c r="AJ2" i="3" a="1"/>
  <c r="AJ2" i="3" s="1"/>
  <c r="AJ7" i="3" a="1"/>
  <c r="AJ7" i="3" s="1"/>
  <c r="AK11" i="3" a="1"/>
  <c r="AK11" i="3" s="1"/>
  <c r="R19" i="3"/>
  <c r="S19" i="3" s="1"/>
  <c r="R3" i="3"/>
  <c r="S3" i="3" s="1"/>
  <c r="Z20" i="3" a="1"/>
  <c r="Z20" i="3" s="1"/>
  <c r="AB12" i="3" a="1"/>
  <c r="AB12" i="3" s="1"/>
  <c r="AC17" i="3" a="1"/>
  <c r="AC17" i="3" s="1"/>
  <c r="AD2" i="3" a="1"/>
  <c r="AD2" i="3" s="1"/>
  <c r="AD7" i="3" a="1"/>
  <c r="AD7" i="3" s="1"/>
  <c r="AE11" i="3" a="1"/>
  <c r="AE11" i="3" s="1"/>
  <c r="AF16" i="3" a="1"/>
  <c r="AF16" i="3" s="1"/>
  <c r="AG20" i="3" a="1"/>
  <c r="AG20" i="3" s="1"/>
  <c r="AG6" i="3" a="1"/>
  <c r="AG6" i="3" s="1"/>
  <c r="AH9" i="3" a="1"/>
  <c r="AH9" i="3" s="1"/>
  <c r="AI12" i="3" a="1"/>
  <c r="AI12" i="3" s="1"/>
  <c r="AJ20" i="3" a="1"/>
  <c r="AJ20" i="3" s="1"/>
  <c r="AJ6" i="3" a="1"/>
  <c r="AJ6" i="3" s="1"/>
  <c r="AC20" i="3" a="1"/>
  <c r="AC20" i="3" s="1"/>
  <c r="R18" i="3"/>
  <c r="S18" i="3" s="1"/>
  <c r="AM17" i="3" s="1" a="1"/>
  <c r="AM17" i="3" s="1"/>
  <c r="R33" i="3"/>
  <c r="S33" i="3" s="1"/>
  <c r="Z19" i="3" a="1"/>
  <c r="Z19" i="3" s="1"/>
  <c r="AB11" i="3" a="1"/>
  <c r="AB11" i="3" s="1"/>
  <c r="AC16" i="3" a="1"/>
  <c r="AC16" i="3" s="1"/>
  <c r="AD20" i="3" a="1"/>
  <c r="AD20" i="3" s="1"/>
  <c r="AD6" i="3" a="1"/>
  <c r="AD6" i="3" s="1"/>
  <c r="AF15" i="3" a="1"/>
  <c r="AF15" i="3" s="1"/>
  <c r="AG19" i="3" a="1"/>
  <c r="AG19" i="3" s="1"/>
  <c r="AG5" i="3" a="1"/>
  <c r="AG5" i="3" s="1"/>
  <c r="AH8" i="3" a="1"/>
  <c r="AH8" i="3" s="1"/>
  <c r="AI11" i="3" a="1"/>
  <c r="AI11" i="3" s="1"/>
  <c r="AJ19" i="3" a="1"/>
  <c r="AJ19" i="3" s="1"/>
  <c r="AJ5" i="3" a="1"/>
  <c r="AJ5" i="3" s="1"/>
  <c r="AK10" i="3" a="1"/>
  <c r="AK10" i="3" s="1"/>
  <c r="AB16" i="3" a="1"/>
  <c r="AB16" i="3" s="1"/>
  <c r="R17" i="3"/>
  <c r="S17" i="3" s="1"/>
  <c r="R32" i="3"/>
  <c r="S32" i="3" s="1"/>
  <c r="AC15" i="3" a="1"/>
  <c r="AC15" i="3" s="1"/>
  <c r="AD5" i="3" a="1"/>
  <c r="AD5" i="3" s="1"/>
  <c r="AE10" i="3" a="1"/>
  <c r="AE10" i="3" s="1"/>
  <c r="AF14" i="3" a="1"/>
  <c r="AF14" i="3" s="1"/>
  <c r="AG4" i="3" a="1"/>
  <c r="AG4" i="3" s="1"/>
  <c r="AH7" i="3" a="1"/>
  <c r="AH7" i="3" s="1"/>
  <c r="AI10" i="3" a="1"/>
  <c r="AI10" i="3" s="1"/>
  <c r="AJ4" i="3" a="1"/>
  <c r="AJ4" i="3" s="1"/>
  <c r="AK9" i="3" a="1"/>
  <c r="AK9" i="3" s="1"/>
  <c r="R31" i="3"/>
  <c r="S31" i="3" s="1"/>
  <c r="Z18" i="3" a="1"/>
  <c r="Z18" i="3" s="1"/>
  <c r="AB10" i="3" a="1"/>
  <c r="AB10" i="3" s="1"/>
  <c r="AC14" i="3" a="1"/>
  <c r="AC14" i="3" s="1"/>
  <c r="AD4" i="3" a="1"/>
  <c r="AD4" i="3" s="1"/>
  <c r="AE9" i="3" a="1"/>
  <c r="AE9" i="3" s="1"/>
  <c r="AF13" i="3" a="1"/>
  <c r="AF13" i="3" s="1"/>
  <c r="AG18" i="3" a="1"/>
  <c r="AG18" i="3" s="1"/>
  <c r="AG3" i="3" a="1"/>
  <c r="AG3" i="3" s="1"/>
  <c r="AH6" i="3" a="1"/>
  <c r="AH6" i="3" s="1"/>
  <c r="AI9" i="3" a="1"/>
  <c r="AI9" i="3" s="1"/>
  <c r="AJ18" i="3" a="1"/>
  <c r="AJ18" i="3" s="1"/>
  <c r="AJ3" i="3" a="1"/>
  <c r="AJ3" i="3" s="1"/>
  <c r="AK8" i="3" a="1"/>
  <c r="AK8" i="3" s="1"/>
  <c r="R15" i="3"/>
  <c r="S15" i="3" s="1"/>
  <c r="R30" i="3"/>
  <c r="S30" i="3" s="1"/>
  <c r="Z4" i="3" a="1"/>
  <c r="Z4" i="3" s="1"/>
  <c r="AD3" i="3" a="1"/>
  <c r="AD3" i="3" s="1"/>
  <c r="AE8" i="3" a="1"/>
  <c r="AE8" i="3" s="1"/>
  <c r="AF12" i="3" a="1"/>
  <c r="AF12" i="3" s="1"/>
  <c r="AG17" i="3" a="1"/>
  <c r="AG17" i="3" s="1"/>
  <c r="AH2" i="3" a="1"/>
  <c r="AH2" i="3" s="1"/>
  <c r="AI8" i="3" a="1"/>
  <c r="AI8" i="3" s="1"/>
  <c r="AJ17" i="3" a="1"/>
  <c r="AJ17" i="3" s="1"/>
  <c r="AK2" i="3" a="1"/>
  <c r="AK2" i="3" s="1"/>
  <c r="AK7" i="3" a="1"/>
  <c r="AK7" i="3" s="1"/>
  <c r="AB2" i="3" a="1"/>
  <c r="AB2" i="3" s="1"/>
  <c r="AF7" i="3" a="1"/>
  <c r="AF7" i="3" s="1"/>
  <c r="R14" i="3"/>
  <c r="S14" i="3" s="1"/>
  <c r="R29" i="3"/>
  <c r="S29" i="3" s="1"/>
  <c r="Z17" i="3" a="1"/>
  <c r="Z17" i="3" s="1"/>
  <c r="AE7" i="3" a="1"/>
  <c r="AE7" i="3" s="1"/>
  <c r="AF11" i="3" a="1"/>
  <c r="AF11" i="3" s="1"/>
  <c r="AG16" i="3" a="1"/>
  <c r="AG16" i="3" s="1"/>
  <c r="AH20" i="3" a="1"/>
  <c r="AH20" i="3" s="1"/>
  <c r="Q3" i="2" a="1"/>
  <c r="Q3" i="2" s="1"/>
  <c r="N3" i="2" a="1"/>
  <c r="N3" i="2" s="1"/>
  <c r="N6" i="2" a="1"/>
  <c r="N6" i="2" s="1"/>
  <c r="V16" i="2"/>
  <c r="L5" i="2" a="1"/>
  <c r="L5" i="2" s="1"/>
  <c r="P5" i="2" a="1"/>
  <c r="P5" i="2" s="1"/>
  <c r="V14" i="2"/>
  <c r="O3" i="2" a="1"/>
  <c r="O3" i="2" s="1"/>
  <c r="P4" i="2" a="1"/>
  <c r="P4" i="2" s="1"/>
  <c r="W6" i="2"/>
  <c r="V24" i="2"/>
  <c r="W7" i="2"/>
  <c r="W4" i="2"/>
  <c r="V23" i="2"/>
  <c r="Q6" i="2" a="1"/>
  <c r="Q6" i="2" s="1"/>
  <c r="V21" i="2"/>
  <c r="N4" i="2" a="1"/>
  <c r="N4" i="2" s="1"/>
  <c r="Q5" i="2" a="1"/>
  <c r="Q5" i="2" s="1"/>
  <c r="M6" i="2" a="1"/>
  <c r="M6" i="2" s="1"/>
  <c r="V31" i="2"/>
  <c r="O6" i="2" a="1"/>
  <c r="O6" i="2" s="1"/>
  <c r="V30" i="2"/>
  <c r="V17" i="2"/>
  <c r="V28" i="2"/>
  <c r="N5" i="2" a="1"/>
  <c r="N5" i="2" s="1"/>
  <c r="G11" i="2"/>
  <c r="L3" i="2" a="1"/>
  <c r="L3" i="2" s="1"/>
  <c r="M4" i="2" a="1"/>
  <c r="M4" i="2" s="1"/>
  <c r="O4" i="2" a="1"/>
  <c r="O4" i="2" s="1"/>
  <c r="Q4" i="2" a="1"/>
  <c r="Q4" i="2" s="1"/>
  <c r="W5" i="2"/>
  <c r="V15" i="2"/>
  <c r="V22" i="2"/>
  <c r="V29" i="2"/>
  <c r="L6" i="2" a="1"/>
  <c r="L6" i="2" s="1"/>
  <c r="V13" i="2"/>
  <c r="V20" i="2"/>
  <c r="P6" i="2" a="1"/>
  <c r="P6" i="2" s="1"/>
  <c r="L4" i="2" a="1"/>
  <c r="L4" i="2" s="1"/>
  <c r="V12" i="2"/>
  <c r="M3" i="2" a="1"/>
  <c r="M3" i="2" s="1"/>
  <c r="W9" i="2"/>
  <c r="V33" i="2"/>
  <c r="P3" i="2" a="1"/>
  <c r="P3" i="2" s="1"/>
  <c r="W8" i="2"/>
  <c r="V25" i="2"/>
  <c r="V32" i="2"/>
  <c r="V4" i="2"/>
  <c r="V5" i="2"/>
  <c r="V6" i="2"/>
  <c r="V7" i="2"/>
  <c r="V8" i="2"/>
  <c r="V3" i="2"/>
  <c r="AL17" i="3" l="1" a="1"/>
  <c r="AL17" i="3" s="1"/>
  <c r="AN14" i="3"/>
  <c r="AN3" i="3"/>
  <c r="AN12" i="3"/>
  <c r="AN8" i="3"/>
  <c r="AN17" i="3"/>
  <c r="AN2" i="3"/>
  <c r="AN4" i="3"/>
  <c r="AN20" i="3"/>
  <c r="AN19" i="3"/>
  <c r="AN11" i="3"/>
  <c r="AN9" i="3"/>
  <c r="AN5" i="3"/>
  <c r="AN16" i="3"/>
  <c r="AN13" i="3"/>
  <c r="AM6" i="3" a="1"/>
  <c r="AM6" i="3" s="1"/>
  <c r="AN15" i="3"/>
  <c r="AN10" i="3"/>
  <c r="AN7" i="3"/>
  <c r="AN6" i="3"/>
  <c r="AN18" i="3"/>
  <c r="AL3" i="3" a="1"/>
  <c r="AL3" i="3" s="1"/>
  <c r="AM15" i="3" a="1"/>
  <c r="AM15" i="3" s="1"/>
  <c r="AM4" i="3" a="1"/>
  <c r="AM4" i="3" s="1"/>
  <c r="AL7" i="3" a="1"/>
  <c r="AL7" i="3" s="1"/>
  <c r="AM7" i="3" a="1"/>
  <c r="AM7" i="3" s="1"/>
  <c r="AM13" i="3" a="1"/>
  <c r="AM13" i="3" s="1"/>
  <c r="AL20" i="3" a="1"/>
  <c r="AL20" i="3" s="1"/>
  <c r="AL6" i="3" a="1"/>
  <c r="AL6" i="3" s="1"/>
  <c r="AL18" i="3" a="1"/>
  <c r="AL18" i="3" s="1"/>
  <c r="AM20" i="3" a="1"/>
  <c r="AM20" i="3" s="1"/>
  <c r="AL8" i="3" a="1"/>
  <c r="AL8" i="3" s="1"/>
  <c r="AM9" i="3" a="1"/>
  <c r="AM9" i="3" s="1"/>
  <c r="AM11" i="3" a="1"/>
  <c r="AM11" i="3" s="1"/>
  <c r="AL19" i="3" a="1"/>
  <c r="AL19" i="3" s="1"/>
  <c r="AM14" i="3" a="1"/>
  <c r="AM14" i="3" s="1"/>
  <c r="AL16" i="3" a="1"/>
  <c r="AL16" i="3" s="1"/>
  <c r="AM8" i="3" a="1"/>
  <c r="AM8" i="3" s="1"/>
  <c r="AL12" i="3" a="1"/>
  <c r="AL12" i="3" s="1"/>
  <c r="AM3" i="3" a="1"/>
  <c r="AM3" i="3" s="1"/>
  <c r="AM19" i="3" a="1"/>
  <c r="AM19" i="3" s="1"/>
  <c r="AL2" i="3" a="1"/>
  <c r="AL2" i="3" s="1"/>
  <c r="AL10" i="3" a="1"/>
  <c r="AL10" i="3" s="1"/>
  <c r="AM2" i="3" a="1"/>
  <c r="AM2" i="3" s="1"/>
  <c r="AM16" i="3" a="1"/>
  <c r="AM16" i="3" s="1"/>
  <c r="AL11" i="3" a="1"/>
  <c r="AL11" i="3" s="1"/>
  <c r="AM18" i="3" a="1"/>
  <c r="AM18" i="3" s="1"/>
  <c r="AM5" i="3" a="1"/>
  <c r="AM5" i="3" s="1"/>
  <c r="AL14" i="3" a="1"/>
  <c r="AL14" i="3" s="1"/>
  <c r="AL9" i="3" a="1"/>
  <c r="AL9" i="3" s="1"/>
  <c r="AL15" i="3" a="1"/>
  <c r="AL15" i="3" s="1"/>
  <c r="AL4" i="3" a="1"/>
  <c r="AL4" i="3" s="1"/>
  <c r="AM12" i="3" a="1"/>
  <c r="AM12" i="3" s="1"/>
  <c r="AM10" i="3" a="1"/>
  <c r="AM10" i="3" s="1"/>
  <c r="AL5" i="3" a="1"/>
  <c r="AL5" i="3" s="1"/>
  <c r="AL13" i="3" a="1"/>
  <c r="AL13" i="3" s="1"/>
  <c r="R3" i="2"/>
  <c r="R5" i="2"/>
  <c r="R6" i="2"/>
  <c r="R4" i="2"/>
  <c r="O5" i="2" a="1"/>
  <c r="O5" i="2" s="1"/>
  <c r="M5" i="2" a="1"/>
  <c r="M5"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<sst xmlns="http://schemas.openxmlformats.org/spreadsheetml/2006/main" count="813" uniqueCount="180">
  <si>
    <t>Baseline</t>
  </si>
  <si>
    <t>Regularity</t>
  </si>
  <si>
    <t>Complexity</t>
  </si>
  <si>
    <t>GroupDepth</t>
  </si>
  <si>
    <t>GroupWidth</t>
  </si>
  <si>
    <t>Case</t>
  </si>
  <si>
    <t>R1</t>
  </si>
  <si>
    <t>R2</t>
  </si>
  <si>
    <t>R3</t>
  </si>
  <si>
    <t>CS1</t>
  </si>
  <si>
    <t>CS2</t>
  </si>
  <si>
    <t>CS3</t>
  </si>
  <si>
    <t>CS4</t>
  </si>
  <si>
    <t>QAF metric</t>
  </si>
  <si>
    <t>Numerical setting</t>
  </si>
  <si>
    <t>−50%</t>
  </si>
  <si>
    <t>−25%</t>
  </si>
  <si>
    <t>Cases</t>
  </si>
  <si>
    <t>R1–R3 + CS1–CS4</t>
  </si>
  <si>
    <t>Symmetry-based balance</t>
  </si>
  <si>
    <t>Candidate-axis merging tolerance (\tau_m)</t>
  </si>
  <si>
    <t>0.150 m</t>
  </si>
  <si>
    <t>B1–B4 + CS1–CS4</t>
  </si>
  <si>
    <t>Positional tolerance (\tau_p)</t>
  </si>
  <si>
    <t>Mirrored matching tolerance (\tau_s)</t>
  </si>
  <si>
    <t>0.350 m</t>
  </si>
  <si>
    <t>1.000 m</t>
  </si>
  <si>
    <t>C1–C4 + CS1–CS4</t>
  </si>
  <si>
    <t>19.000 m</t>
  </si>
  <si>
    <t>R%</t>
  </si>
  <si>
    <t>Distance-rounding decimal places</t>
  </si>
  <si>
    <t>No rounding</t>
  </si>
  <si>
    <t>2 (Baseline)</t>
  </si>
  <si>
    <t>Number of unique distance classes</t>
  </si>
  <si>
    <t>Signed ΔR (percentage points)</t>
  </si>
  <si>
    <t>Absolute ΔR
(percentage points)</t>
  </si>
  <si>
    <t>Signed Δ in number of distance classes</t>
  </si>
  <si>
    <t>Absolute Δ in number of distance classes</t>
  </si>
  <si>
    <t>-</t>
  </si>
  <si>
    <t>Unrounded raw distances</t>
  </si>
  <si>
    <t>Spearman ρ</t>
  </si>
  <si>
    <t>Values (Scenario)</t>
  </si>
  <si>
    <t>Values (Baseline)</t>
  </si>
  <si>
    <t>Rank (Scenario)</t>
  </si>
  <si>
    <t>Rank (Baseline)</t>
  </si>
  <si>
    <t>B1</t>
  </si>
  <si>
    <t>B2</t>
  </si>
  <si>
    <t>B3</t>
  </si>
  <si>
    <t>B4</t>
  </si>
  <si>
    <t>Parameter varied</t>
  </si>
  <si>
    <t>Candidate-axis merging tolerance</t>
  </si>
  <si>
    <t>Mirrored-matching tolerance</t>
  </si>
  <si>
    <t>No variation (Baseline) (0.15; 0.15; 0.35)</t>
  </si>
  <si>
    <t>SBB%</t>
  </si>
  <si>
    <t>Signed ΔSBB (percentage points)</t>
  </si>
  <si>
    <t>Absolute ΔSBB
(percentage points)</t>
  </si>
  <si>
    <t>Signed Δ in number of candidate axes</t>
  </si>
  <si>
    <t>Absolute Δ in number of candidate axes</t>
  </si>
  <si>
    <t>Principal-axis shift, ΔXaxis (m)</t>
  </si>
  <si>
    <t>Absolute principal-axis shift, |ΔXaxis| (m)</t>
  </si>
  <si>
    <t>Principal axis changed?</t>
  </si>
  <si>
    <t>No</t>
  </si>
  <si>
    <t>Yes</t>
  </si>
  <si>
    <t>N/A</t>
  </si>
  <si>
    <t>Signed Δ in symmetry-contributing instances</t>
  </si>
  <si>
    <t>Absolute Δ in symmetry-contributing instances</t>
  </si>
  <si>
    <t>Positional tolerance
(on axis, leftside, rightside)</t>
  </si>
  <si>
    <t>Sensitivity
setting</t>
  </si>
  <si>
    <t>Number of
candidate axes
after merging</t>
  </si>
  <si>
    <t>Principal
axis
detected?</t>
  </si>
  <si>
    <t>Principal
symmetry-axis
X-coordinate (m)</t>
  </si>
  <si>
    <t>Eligible on-axis
symmetry-contributing
instances</t>
  </si>
  <si>
    <t>Mirrored symmetry-
contributing
instances</t>
  </si>
  <si>
    <t>Total count of
symmetry-contributing
instances</t>
  </si>
  <si>
    <t>First raw-data row</t>
  </si>
  <si>
    <t>Mean signed
ΔSBB (pp)</t>
  </si>
  <si>
    <t>Mean absolute
ΔSBB (pp)</t>
  </si>
  <si>
    <t>Maximum absolute
ΔSBB (pp)</t>
  </si>
  <si>
    <t>Cases with changed SBB</t>
  </si>
  <si>
    <t>Mean absolute Δ candidate axes</t>
  </si>
  <si>
    <t>Maximum absolute Δ candidate axes</t>
  </si>
  <si>
    <t>Cases with changed axis-detection status</t>
  </si>
  <si>
    <t>Cases with changed principal axis</t>
  </si>
  <si>
    <t>Mean absolute principal-axis shift (m)</t>
  </si>
  <si>
    <t>Maximum absolute principal-axis shift (m)</t>
  </si>
  <si>
    <t>Mean absolute Δ total contributors</t>
  </si>
  <si>
    <t>Maximum absolute Δ total contributors</t>
  </si>
  <si>
    <t>C1</t>
  </si>
  <si>
    <t>No variation (Baseline)</t>
  </si>
  <si>
    <t>C3</t>
  </si>
  <si>
    <t>Façade Case Total Width</t>
  </si>
  <si>
    <t>Façade Case Total Depth</t>
  </si>
  <si>
    <t>C2</t>
  </si>
  <si>
    <t>C4</t>
  </si>
  <si>
    <t>0.2 - 1.1</t>
  </si>
  <si>
    <t>1.2 - 1.8</t>
  </si>
  <si>
    <t>GroupWidth (variations at
GroupDepth = 1.00 m)</t>
  </si>
  <si>
    <t>0.1 - 0.6</t>
  </si>
  <si>
    <t>0.7 - 2.9</t>
  </si>
  <si>
    <t>0.1 - 2.9</t>
  </si>
  <si>
    <t>0.1 - 0.5</t>
  </si>
  <si>
    <t>5 - 3</t>
  </si>
  <si>
    <t>0.6 - 0.8</t>
  </si>
  <si>
    <t>GroupWidth (variations at
GroupDepth = 0.70 m)</t>
  </si>
  <si>
    <t>3.3 - 7.9</t>
  </si>
  <si>
    <t>0.1 - 0.4</t>
  </si>
  <si>
    <t>0.5 - 1</t>
  </si>
  <si>
    <t>0.1 - 3.8</t>
  </si>
  <si>
    <t>3.9 - 8.7</t>
  </si>
  <si>
    <t>0.7 - 0.8</t>
  </si>
  <si>
    <t>0.6 - 2.6</t>
  </si>
  <si>
    <t>2.7 - 3.7</t>
  </si>
  <si>
    <t>3.8 - 9.9</t>
  </si>
  <si>
    <t>GroupWidth (variations at
GroupDepth = 0.50 m)</t>
  </si>
  <si>
    <t>3.5 - 4.1</t>
  </si>
  <si>
    <t>All tested
values</t>
  </si>
  <si>
    <t>Note: Width-group counts are reported as ordered vectors corresponding to the depth groups.
For example, {2, 3} indicates that the first depth group contains two width subgroups and the second contains three width subgroups.</t>
  </si>
  <si>
    <t>Tested setting /range</t>
  </si>
  <si>
    <t>No. of Depth Groups</t>
  </si>
  <si>
    <t>Depth-group membership matches reference?</t>
  </si>
  <si>
    <t>Width-group membership matches reference?</t>
  </si>
  <si>
    <t>Rounding precision (decimal places)</t>
  </si>
  <si>
    <t>Width-subgroup structure (number of subgroups within each depth group)</t>
  </si>
  <si>
    <t>(2, 3)</t>
  </si>
  <si>
    <t>(1,3)</t>
  </si>
  <si>
    <t>(2, 2, 2, 1)</t>
  </si>
  <si>
    <t>(4, 2, 2, 1)</t>
  </si>
  <si>
    <t>(2, 2, 1, 1)</t>
  </si>
  <si>
    <t>(3, 2)</t>
  </si>
  <si>
    <t>(4, 2)</t>
  </si>
  <si>
    <t>(1, 2)</t>
  </si>
  <si>
    <t>(1, 2, 2)</t>
  </si>
  <si>
    <t>(2, 6, 4)</t>
  </si>
  <si>
    <t>(2, 4, 2)</t>
  </si>
  <si>
    <t>(2, 2, 1)</t>
  </si>
  <si>
    <t>(1, 1, 2)</t>
  </si>
  <si>
    <t>(4, 3)</t>
  </si>
  <si>
    <t>Positional tolerance (on-axis / left-side /
right-side classification)</t>
  </si>
  <si>
    <t>Tested
Range (m)</t>
  </si>
  <si>
    <t>Baseline
Setting (m)</t>
  </si>
  <si>
    <t>Worst-case mean absolute ΔSBB (pp)</t>
  </si>
  <si>
    <t>Maximum absolute ΔSBB (pp)</t>
  </si>
  <si>
    <t>Minimum Spearman ρ</t>
  </si>
  <si>
    <t>All tested</t>
  </si>
  <si>
    <t>Distance-rounding precision (decimal places; baseline = 2)</t>
  </si>
  <si>
    <t>Mean signed ΔR (pp)</t>
  </si>
  <si>
    <t>Mean absolute ΔR (pp)</t>
  </si>
  <si>
    <t>Maximum absolute ΔR (pp)</t>
  </si>
  <si>
    <t>Cases with changed R (n/7)</t>
  </si>
  <si>
    <t>Mean absolute Δ no. of distance classes</t>
  </si>
  <si>
    <t>Maximum absolute Δ no. of distance classes</t>
  </si>
  <si>
    <t>1/7</t>
  </si>
  <si>
    <t>0/7</t>
  </si>
  <si>
    <t>3/7</t>
  </si>
  <si>
    <t>7/7</t>
  </si>
  <si>
    <t>Table A-2. Sensitivity of the regularity metric to centroid-distance rounding precision across seven façade cases, relative to the two-decimal-place baseline.</t>
  </si>
  <si>
    <t>Note: ΔR denotes the change in the regularity percentage relative to the two-decimal-place baseline; positive values indicate an increase and negative values a decrease in R%. pp = percentage points.
Changes in the number of distance classes are calculated relative to the baseline class count. Spearman’s ρ compares the ranking of the seven façade cases under each sensitivity scenario with the baseline ranking. Unrounded raw distances indicates that no numerical rounding was applied before distance-class formation.</t>
  </si>
  <si>
    <t>Output-stable tested range (m)*</t>
  </si>
  <si>
    <t>Table A-3. Sensitivity of the symmetry-based balance metric to candidate-axis merging, positional-classification, and mirrored-matching tolerances across eight façade cases.</t>
  </si>
  <si>
    <t>Note: Output-stable tested range denotes the span of tested settings for which the SBB value and principal-axis detection outcome remained unchanged relative to the baseline across all façade cases; this does not imply that untested intermediate values were evaluated. Worst-case mean absolute ΔSBB is the largest mean absolute case-level deviation from the baseline across the tested settings of each parameter. Maximum absolute ΔSBB is the largest individual case-level deviation observed across all tested settings. Minimum Spearman’s ρ is the lowest rank correlation between a sensitivity setting and the baseline façade ranking. pp = percentage points.</t>
  </si>
  <si>
    <t>Reference no. of depth groups</t>
  </si>
  <si>
    <t>Reference-consistent GroupDepth setting(s) (m)</t>
  </si>
  <si>
    <t>Reference width-subgroup structure</t>
  </si>
  <si>
    <t>Reference-consistent GroupWidth setting(s) (m)</t>
  </si>
  <si>
    <t>0.2–1.1</t>
  </si>
  <si>
    <t>0.6–0.8</t>
  </si>
  <si>
    <t>0.1–0.5</t>
  </si>
  <si>
    <t>0.5–1</t>
  </si>
  <si>
    <t>0.7–0.8</t>
  </si>
  <si>
    <t>3.8–9.9</t>
  </si>
  <si>
    <t>3.9–8.7</t>
  </si>
  <si>
    <t>3.5–4.1</t>
  </si>
  <si>
    <t>3.3–7.9</t>
  </si>
  <si>
    <t>C2–C4</t>
  </si>
  <si>
    <t>0.00–0.55</t>
  </si>
  <si>
    <t>0.00–0.65</t>
  </si>
  <si>
    <t>0.15–0.65</t>
  </si>
  <si>
    <t>0.05–0.55</t>
  </si>
  <si>
    <t>Table A-4. Reference-consistent GroupDepth and GroupWidth settings for reproducing the reference complexity decomposition across benchmark and real-world façade cases.</t>
  </si>
  <si>
    <t>Note: Reference-consistent denotes parameter settings that reproduced the reference decomposition in terms of element group membership, rather than merely reproducing the same number of groups.
Parenthesised sequences denote the number of width subgroups within each depth group [or: within each depth group to which width segmentation was applicable], following the depth-group order returned by the decomposition procedure. GroupWidth sensitivity was evaluated at a fixed GroupDepth of 1.00 m for C1–C4, 0.70 m for CS1, 0.50 m for CS2, 1.00 m for CS3, and 0.70 m for CS4. Cases C2–C4 are combined because they exhibited identical reference structures and sensitivity responses. All tested indicates that all GroupDepth settings evaluated for C1 reproduced the reference depth grouping.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</si>
</sst>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theme="1"/>
      <name val="Arial Unicode MS"/>
      <family val="2"/>
    </font>
    <font>
      <sz val="9"/>
      <color theme="1"/>
      <name val="Aptos Narrow"/>
      <family val="2"/>
      <scheme val="minor"/>
    </font>
    <font>
      <sz val="8"/>
      <color theme="1"/>
      <name val="Aptos Narrow"/>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theme="0"/>
        <bgColor indexed="64"/>
      </patternFill>
    </fill>
    <fill>
      <patternFill patternType="solid">
        <fgColor theme="0" tint="-4.9989318521683403E-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15">
    <xf numFmtId="0" fontId="0" fillId="0" borderId="0" xfId="0"/>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6" xfId="0"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right" vertical="center" wrapText="1"/>
    </xf>
    <xf numFmtId="0" fontId="2" fillId="0" borderId="3" xfId="0" applyFont="1" applyBorder="1" applyAlignment="1">
      <alignment horizontal="right" vertical="center" wrapText="1"/>
    </xf>
    <xf numFmtId="0" fontId="0" fillId="0" borderId="5" xfId="0" applyBorder="1" applyAlignment="1">
      <alignment vertical="center" wrapText="1"/>
    </xf>
    <xf numFmtId="0" fontId="0" fillId="0" borderId="7" xfId="0" applyBorder="1" applyAlignment="1">
      <alignment vertical="center" wrapText="1"/>
    </xf>
    <xf numFmtId="0" fontId="0" fillId="0" borderId="8" xfId="0" applyBorder="1" applyAlignment="1">
      <alignment horizontal="right" vertical="center" wrapText="1"/>
    </xf>
    <xf numFmtId="0" fontId="0" fillId="0" borderId="8" xfId="0" applyBorder="1" applyAlignment="1">
      <alignment vertical="center" wrapText="1"/>
    </xf>
    <xf numFmtId="9" fontId="2" fillId="0" borderId="3" xfId="0" applyNumberFormat="1" applyFont="1" applyBorder="1" applyAlignment="1">
      <alignment horizontal="right" vertical="center" wrapText="1"/>
    </xf>
    <xf numFmtId="0" fontId="0" fillId="0" borderId="1" xfId="0" applyBorder="1" applyAlignment="1">
      <alignment horizontal="left" vertical="center" wrapText="1"/>
    </xf>
    <xf numFmtId="0" fontId="0" fillId="0" borderId="1" xfId="0" applyBorder="1"/>
    <xf numFmtId="0" fontId="0" fillId="0" borderId="1" xfId="0" applyBorder="1" applyAlignment="1">
      <alignment horizontal="left"/>
    </xf>
    <xf numFmtId="0" fontId="0" fillId="0" borderId="6" xfId="0" applyBorder="1"/>
    <xf numFmtId="0" fontId="0" fillId="0" borderId="8" xfId="0" applyBorder="1" applyAlignment="1">
      <alignment horizontal="left" vertical="center" wrapText="1"/>
    </xf>
    <xf numFmtId="0" fontId="0" fillId="0" borderId="8" xfId="0" applyBorder="1"/>
    <xf numFmtId="0" fontId="0" fillId="0" borderId="9" xfId="0" applyBorder="1"/>
    <xf numFmtId="10" fontId="0" fillId="0" borderId="1" xfId="1" applyNumberFormat="1" applyFont="1" applyBorder="1"/>
    <xf numFmtId="10" fontId="0" fillId="0" borderId="8" xfId="1" applyNumberFormat="1" applyFont="1" applyBorder="1"/>
    <xf numFmtId="2" fontId="0" fillId="0" borderId="1" xfId="0" applyNumberFormat="1" applyBorder="1"/>
    <xf numFmtId="0" fontId="0" fillId="3" borderId="2" xfId="0" applyFill="1" applyBorder="1"/>
    <xf numFmtId="0" fontId="0" fillId="3" borderId="3" xfId="0" applyFill="1" applyBorder="1" applyAlignment="1">
      <alignment wrapText="1"/>
    </xf>
    <xf numFmtId="0" fontId="0" fillId="3" borderId="3" xfId="0" applyFill="1" applyBorder="1"/>
    <xf numFmtId="0" fontId="0" fillId="3" borderId="4" xfId="0" applyFill="1" applyBorder="1" applyAlignment="1">
      <alignment wrapText="1"/>
    </xf>
    <xf numFmtId="2" fontId="0" fillId="0" borderId="8" xfId="0" applyNumberFormat="1" applyBorder="1"/>
    <xf numFmtId="2" fontId="0" fillId="2" borderId="1" xfId="0" applyNumberFormat="1" applyFill="1" applyBorder="1" applyAlignment="1">
      <alignment horizontal="center"/>
    </xf>
    <xf numFmtId="0" fontId="0" fillId="2" borderId="6" xfId="0" applyFill="1" applyBorder="1" applyAlignment="1">
      <alignment horizontal="center"/>
    </xf>
    <xf numFmtId="0" fontId="0" fillId="0" borderId="7" xfId="0" applyBorder="1"/>
    <xf numFmtId="2" fontId="0" fillId="0" borderId="0" xfId="0" applyNumberFormat="1"/>
    <xf numFmtId="0" fontId="0" fillId="0" borderId="0" xfId="0" applyAlignment="1">
      <alignment vertical="center" wrapText="1"/>
    </xf>
    <xf numFmtId="0" fontId="0" fillId="3" borderId="2" xfId="0" applyFill="1" applyBorder="1" applyAlignment="1">
      <alignment vertical="center" wrapText="1"/>
    </xf>
    <xf numFmtId="0" fontId="0" fillId="3" borderId="3" xfId="0" applyFill="1" applyBorder="1" applyAlignment="1">
      <alignment vertical="center" wrapText="1"/>
    </xf>
    <xf numFmtId="0" fontId="0" fillId="3" borderId="4" xfId="0" applyFill="1" applyBorder="1" applyAlignment="1">
      <alignment vertical="center" wrapText="1"/>
    </xf>
    <xf numFmtId="0" fontId="0" fillId="0" borderId="5" xfId="0" applyBorder="1" applyAlignment="1">
      <alignment horizontal="left"/>
    </xf>
    <xf numFmtId="2" fontId="0" fillId="0" borderId="1" xfId="0" applyNumberFormat="1" applyBorder="1" applyAlignment="1">
      <alignment horizontal="center" vertical="center"/>
    </xf>
    <xf numFmtId="0" fontId="0" fillId="0" borderId="1" xfId="0" applyBorder="1" applyAlignment="1">
      <alignment horizontal="center" vertical="center"/>
    </xf>
    <xf numFmtId="2" fontId="0" fillId="0" borderId="6" xfId="0" applyNumberFormat="1" applyBorder="1" applyAlignment="1">
      <alignment horizontal="center" vertical="center"/>
    </xf>
    <xf numFmtId="2" fontId="0" fillId="0" borderId="8" xfId="0" applyNumberFormat="1" applyBorder="1" applyAlignment="1">
      <alignment horizontal="center" vertical="center"/>
    </xf>
    <xf numFmtId="0" fontId="0" fillId="0" borderId="8" xfId="0" applyBorder="1" applyAlignment="1">
      <alignment horizontal="center" vertical="center"/>
    </xf>
    <xf numFmtId="2" fontId="0" fillId="0" borderId="9" xfId="0" applyNumberForma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wrapText="1"/>
    </xf>
    <xf numFmtId="0" fontId="0" fillId="5" borderId="1" xfId="0" applyFill="1" applyBorder="1" applyAlignment="1">
      <alignment horizontal="center" vertical="center"/>
    </xf>
    <xf numFmtId="0" fontId="0" fillId="4" borderId="1" xfId="0" applyFill="1" applyBorder="1" applyAlignment="1">
      <alignment horizontal="center" vertical="center"/>
    </xf>
    <xf numFmtId="0" fontId="0" fillId="4" borderId="0" xfId="0" applyFill="1"/>
    <xf numFmtId="1" fontId="0" fillId="5" borderId="1" xfId="0" applyNumberFormat="1" applyFill="1" applyBorder="1" applyAlignment="1">
      <alignment horizontal="center" vertical="center"/>
    </xf>
    <xf numFmtId="1" fontId="0" fillId="5" borderId="1" xfId="1" applyNumberFormat="1" applyFont="1" applyFill="1" applyBorder="1" applyAlignment="1">
      <alignment horizontal="center" vertical="center"/>
    </xf>
    <xf numFmtId="10" fontId="0" fillId="5" borderId="1" xfId="1" applyNumberFormat="1" applyFont="1" applyFill="1" applyBorder="1" applyAlignment="1">
      <alignment horizontal="center" vertical="center"/>
    </xf>
    <xf numFmtId="2" fontId="0" fillId="5" borderId="1" xfId="0" applyNumberFormat="1" applyFill="1" applyBorder="1" applyAlignment="1">
      <alignment horizontal="center" vertical="center"/>
    </xf>
    <xf numFmtId="0" fontId="0" fillId="5" borderId="6" xfId="0" applyFill="1" applyBorder="1" applyAlignment="1">
      <alignment horizontal="center" vertical="center"/>
    </xf>
    <xf numFmtId="1" fontId="0" fillId="4" borderId="1" xfId="0" applyNumberFormat="1" applyFill="1" applyBorder="1" applyAlignment="1">
      <alignment horizontal="center" vertical="center"/>
    </xf>
    <xf numFmtId="1" fontId="0" fillId="4" borderId="1" xfId="1" applyNumberFormat="1" applyFont="1" applyFill="1" applyBorder="1" applyAlignment="1">
      <alignment horizontal="center" vertical="center"/>
    </xf>
    <xf numFmtId="10" fontId="0" fillId="4" borderId="1" xfId="1" applyNumberFormat="1" applyFont="1" applyFill="1" applyBorder="1" applyAlignment="1">
      <alignment horizontal="center" vertical="center"/>
    </xf>
    <xf numFmtId="2" fontId="0" fillId="4" borderId="1" xfId="0" applyNumberFormat="1" applyFill="1" applyBorder="1" applyAlignment="1">
      <alignment horizontal="center" vertical="center"/>
    </xf>
    <xf numFmtId="0" fontId="0" fillId="4" borderId="6" xfId="0" applyFill="1" applyBorder="1" applyAlignment="1">
      <alignment horizontal="center" vertical="center"/>
    </xf>
    <xf numFmtId="0" fontId="3" fillId="0" borderId="0" xfId="0" applyFont="1" applyAlignment="1">
      <alignment vertical="center"/>
    </xf>
    <xf numFmtId="10" fontId="0" fillId="0" borderId="0" xfId="1" applyNumberFormat="1" applyFont="1"/>
    <xf numFmtId="10" fontId="0" fillId="0" borderId="0" xfId="0" applyNumberFormat="1"/>
    <xf numFmtId="2" fontId="0" fillId="0" borderId="6" xfId="0" applyNumberFormat="1" applyBorder="1"/>
    <xf numFmtId="2" fontId="0" fillId="0" borderId="9" xfId="0" applyNumberFormat="1" applyBorder="1"/>
    <xf numFmtId="49" fontId="0" fillId="3" borderId="0" xfId="0" applyNumberFormat="1" applyFill="1" applyAlignment="1">
      <alignment vertical="center" wrapText="1"/>
    </xf>
    <xf numFmtId="49" fontId="0" fillId="3" borderId="0" xfId="1" applyNumberFormat="1" applyFont="1" applyFill="1" applyAlignment="1">
      <alignment vertical="center" wrapText="1"/>
    </xf>
    <xf numFmtId="0" fontId="0" fillId="3" borderId="0" xfId="0" applyFill="1" applyAlignment="1">
      <alignment vertical="center" wrapText="1"/>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49" fontId="0" fillId="0" borderId="1" xfId="0" applyNumberFormat="1"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5" xfId="0" applyBorder="1"/>
    <xf numFmtId="0" fontId="0" fillId="0" borderId="5" xfId="0" applyBorder="1" applyAlignment="1">
      <alignment wrapText="1"/>
    </xf>
    <xf numFmtId="0" fontId="0" fillId="0" borderId="1" xfId="0" applyBorder="1" applyAlignment="1">
      <alignment horizontal="left" vertical="center"/>
    </xf>
    <xf numFmtId="0" fontId="0" fillId="0" borderId="6"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3" borderId="2" xfId="0" applyFill="1" applyBorder="1" applyAlignment="1">
      <alignment horizontal="left" vertical="center" wrapText="1"/>
    </xf>
    <xf numFmtId="0" fontId="0" fillId="3" borderId="3" xfId="0" applyFill="1" applyBorder="1" applyAlignment="1">
      <alignment horizontal="left" vertical="center" wrapText="1"/>
    </xf>
    <xf numFmtId="0" fontId="0" fillId="3" borderId="4" xfId="0" applyFill="1" applyBorder="1" applyAlignment="1">
      <alignment horizontal="left" vertical="center" wrapText="1"/>
    </xf>
    <xf numFmtId="0" fontId="0" fillId="0" borderId="5" xfId="0" applyBorder="1" applyAlignment="1">
      <alignment horizontal="left" vertical="center"/>
    </xf>
    <xf numFmtId="0" fontId="0" fillId="0" borderId="7" xfId="0" applyBorder="1" applyAlignment="1">
      <alignment horizontal="left" vertical="center"/>
    </xf>
    <xf numFmtId="2" fontId="0" fillId="0" borderId="1" xfId="0" applyNumberFormat="1" applyBorder="1" applyAlignment="1">
      <alignment horizontal="left" vertical="center"/>
    </xf>
    <xf numFmtId="2" fontId="0" fillId="0" borderId="6" xfId="0" applyNumberFormat="1" applyBorder="1" applyAlignment="1">
      <alignment horizontal="left" vertical="center"/>
    </xf>
    <xf numFmtId="0" fontId="0" fillId="0" borderId="7" xfId="0" applyBorder="1" applyAlignment="1">
      <alignment horizontal="left"/>
    </xf>
    <xf numFmtId="2" fontId="0" fillId="0" borderId="8" xfId="0" applyNumberFormat="1" applyBorder="1" applyAlignment="1">
      <alignment horizontal="left" vertical="center"/>
    </xf>
    <xf numFmtId="2" fontId="0" fillId="0" borderId="9" xfId="0" applyNumberFormat="1" applyBorder="1" applyAlignment="1">
      <alignment horizontal="left" vertical="center"/>
    </xf>
    <xf numFmtId="0" fontId="5" fillId="0" borderId="14" xfId="0" applyFont="1" applyBorder="1" applyAlignment="1">
      <alignment horizontal="center"/>
    </xf>
    <xf numFmtId="0" fontId="0" fillId="0" borderId="15" xfId="0" applyBorder="1" applyAlignment="1">
      <alignment horizontal="left" wrapText="1"/>
    </xf>
    <xf numFmtId="0" fontId="0" fillId="0" borderId="15" xfId="0" applyBorder="1" applyAlignment="1">
      <alignment horizontal="left"/>
    </xf>
    <xf numFmtId="0" fontId="0" fillId="0" borderId="0" xfId="0" applyAlignment="1">
      <alignment horizontal="left"/>
    </xf>
    <xf numFmtId="0" fontId="0" fillId="0" borderId="5" xfId="0" applyBorder="1" applyAlignment="1">
      <alignment horizontal="center" vertical="center"/>
    </xf>
    <xf numFmtId="0" fontId="0" fillId="0" borderId="7" xfId="0" applyBorder="1" applyAlignment="1">
      <alignment horizontal="center" vertical="center"/>
    </xf>
    <xf numFmtId="0" fontId="0" fillId="5" borderId="1" xfId="0" applyFill="1" applyBorder="1" applyAlignment="1">
      <alignment horizontal="center" vertical="center"/>
    </xf>
    <xf numFmtId="0" fontId="0" fillId="5" borderId="10" xfId="0" applyFill="1" applyBorder="1" applyAlignment="1">
      <alignment horizontal="center" vertical="center"/>
    </xf>
    <xf numFmtId="0" fontId="0" fillId="5" borderId="8" xfId="0" applyFill="1" applyBorder="1" applyAlignment="1">
      <alignment horizontal="center" vertical="center"/>
    </xf>
    <xf numFmtId="0" fontId="0" fillId="5" borderId="6" xfId="0" applyFill="1" applyBorder="1" applyAlignment="1">
      <alignment horizontal="center" vertical="center"/>
    </xf>
    <xf numFmtId="0" fontId="0" fillId="5" borderId="13" xfId="0" applyFill="1" applyBorder="1" applyAlignment="1">
      <alignment horizontal="center" vertical="center"/>
    </xf>
    <xf numFmtId="0" fontId="0" fillId="5" borderId="9" xfId="0"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8" xfId="0" applyBorder="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0" fillId="0" borderId="14" xfId="0" applyBorder="1" applyAlignment="1">
      <alignment horizontal="center"/>
    </xf>
    <xf numFmtId="0" fontId="0" fillId="0" borderId="0" xfId="0" applyAlignment="1">
      <alignment horizontal="left" wrapText="1"/>
    </xf>
    <xf numFmtId="0" fontId="4" fillId="0" borderId="16" xfId="0" applyFont="1" applyBorder="1" applyAlignment="1">
      <alignment horizontal="left"/>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wrapText="1"/>
    </xf>
    <xf numFmtId="0" fontId="0" fillId="0" borderId="5" xfId="0"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22574-5E62-49F3-B08A-57EB11E1F485}">
  <dimension ref="B1:I8"/>
  <sheetViews>
    <sheetView topLeftCell="C1" zoomScale="160" zoomScaleNormal="160" workbookViewId="0">
      <selection activeCell="B11" sqref="B11"/>
    </sheetView>
    <sheetView workbookViewId="1"/>
  </sheetViews>
  <sheetFormatPr defaultRowHeight="14.5" x14ac:dyDescent="0.35"/>
  <cols>
    <col min="2" max="2" width="21.453125" bestFit="1" customWidth="1"/>
    <col min="3" max="3" width="35.7265625" bestFit="1" customWidth="1"/>
    <col min="4" max="4" width="8.26953125" bestFit="1" customWidth="1"/>
    <col min="5" max="5" width="5.36328125" bestFit="1" customWidth="1"/>
    <col min="6" max="6" width="6.36328125" bestFit="1" customWidth="1"/>
    <col min="7" max="7" width="10.6328125" bestFit="1" customWidth="1"/>
    <col min="8" max="8" width="5.36328125" bestFit="1" customWidth="1"/>
    <col min="9" max="9" width="19.453125" customWidth="1"/>
  </cols>
  <sheetData>
    <row r="1" spans="2:9" ht="15" thickBot="1" x14ac:dyDescent="0.4"/>
    <row r="2" spans="2:9" x14ac:dyDescent="0.35">
      <c r="B2" s="1" t="s">
        <v>13</v>
      </c>
      <c r="C2" s="2" t="s">
        <v>14</v>
      </c>
      <c r="D2" s="8" t="s">
        <v>0</v>
      </c>
      <c r="E2" s="8" t="s">
        <v>15</v>
      </c>
      <c r="F2" s="8" t="s">
        <v>16</v>
      </c>
      <c r="G2" s="13">
        <v>0.25</v>
      </c>
      <c r="H2" s="13">
        <v>0.5</v>
      </c>
      <c r="I2" s="3" t="s">
        <v>17</v>
      </c>
    </row>
    <row r="3" spans="2:9" x14ac:dyDescent="0.35">
      <c r="B3" s="9" t="s">
        <v>1</v>
      </c>
      <c r="C3" s="6" t="s">
        <v>30</v>
      </c>
      <c r="D3" s="7">
        <v>2</v>
      </c>
      <c r="E3" s="7">
        <v>1</v>
      </c>
      <c r="F3" s="7">
        <v>3</v>
      </c>
      <c r="G3" s="7" t="s">
        <v>31</v>
      </c>
      <c r="H3" s="7"/>
      <c r="I3" s="4" t="s">
        <v>18</v>
      </c>
    </row>
    <row r="4" spans="2:9" x14ac:dyDescent="0.35">
      <c r="B4" s="9" t="s">
        <v>19</v>
      </c>
      <c r="C4" s="6" t="s">
        <v>20</v>
      </c>
      <c r="D4" s="7" t="s">
        <v>21</v>
      </c>
      <c r="E4" s="7">
        <v>7.4999999999999997E-2</v>
      </c>
      <c r="F4" s="7">
        <v>0.1125</v>
      </c>
      <c r="G4" s="7">
        <v>0.1875</v>
      </c>
      <c r="H4" s="7">
        <v>0.22500000000000001</v>
      </c>
      <c r="I4" s="4" t="s">
        <v>22</v>
      </c>
    </row>
    <row r="5" spans="2:9" x14ac:dyDescent="0.35">
      <c r="B5" s="9" t="s">
        <v>19</v>
      </c>
      <c r="C5" s="6" t="s">
        <v>23</v>
      </c>
      <c r="D5" s="7" t="s">
        <v>21</v>
      </c>
      <c r="E5" s="7">
        <v>7.4999999999999997E-2</v>
      </c>
      <c r="F5" s="7">
        <v>0.1125</v>
      </c>
      <c r="G5" s="7">
        <v>0.1875</v>
      </c>
      <c r="H5" s="7">
        <v>0.22500000000000001</v>
      </c>
      <c r="I5" s="4" t="s">
        <v>22</v>
      </c>
    </row>
    <row r="6" spans="2:9" x14ac:dyDescent="0.35">
      <c r="B6" s="9" t="s">
        <v>19</v>
      </c>
      <c r="C6" s="6" t="s">
        <v>24</v>
      </c>
      <c r="D6" s="7" t="s">
        <v>25</v>
      </c>
      <c r="E6" s="7">
        <v>0.17499999999999999</v>
      </c>
      <c r="F6" s="7">
        <v>0.26250000000000001</v>
      </c>
      <c r="G6" s="7">
        <v>0.4375</v>
      </c>
      <c r="H6" s="7">
        <v>0.52500000000000002</v>
      </c>
      <c r="I6" s="4" t="s">
        <v>22</v>
      </c>
    </row>
    <row r="7" spans="2:9" x14ac:dyDescent="0.35">
      <c r="B7" s="9" t="s">
        <v>2</v>
      </c>
      <c r="C7" s="6" t="s">
        <v>3</v>
      </c>
      <c r="D7" s="7" t="s">
        <v>26</v>
      </c>
      <c r="E7" s="7">
        <v>0.5</v>
      </c>
      <c r="F7" s="7">
        <v>0.75</v>
      </c>
      <c r="G7" s="7">
        <v>1.25</v>
      </c>
      <c r="H7" s="7">
        <v>1.5</v>
      </c>
      <c r="I7" s="4" t="s">
        <v>27</v>
      </c>
    </row>
    <row r="8" spans="2:9" ht="15" thickBot="1" x14ac:dyDescent="0.4">
      <c r="B8" s="10" t="s">
        <v>2</v>
      </c>
      <c r="C8" s="12" t="s">
        <v>4</v>
      </c>
      <c r="D8" s="11" t="s">
        <v>28</v>
      </c>
      <c r="E8" s="11">
        <v>9.5</v>
      </c>
      <c r="F8" s="11">
        <v>14.25</v>
      </c>
      <c r="G8" s="11">
        <v>23.75</v>
      </c>
      <c r="H8" s="11">
        <v>28.5</v>
      </c>
      <c r="I8" s="5" t="s">
        <v>27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CE2FA-9395-4136-ACA9-0760D19A2292}">
  <dimension ref="B1:W37"/>
  <sheetViews>
    <sheetView topLeftCell="H1" zoomScale="130" zoomScaleNormal="130" workbookViewId="0">
      <selection activeCell="K9" sqref="K9"/>
    </sheetView>
    <sheetView topLeftCell="C1" zoomScale="130" zoomScaleNormal="130" workbookViewId="1">
      <selection activeCell="F1" sqref="F1:F1048576"/>
    </sheetView>
  </sheetViews>
  <sheetFormatPr defaultRowHeight="14.5" x14ac:dyDescent="0.35"/>
  <cols>
    <col min="2" max="2" width="5" bestFit="1" customWidth="1"/>
    <col min="3" max="3" width="21.54296875" bestFit="1" customWidth="1"/>
    <col min="4" max="4" width="15.1796875" bestFit="1" customWidth="1"/>
    <col min="5" max="5" width="8.08984375" bestFit="1" customWidth="1"/>
    <col min="6" max="7" width="16.7265625" bestFit="1" customWidth="1"/>
    <col min="8" max="8" width="16.36328125" bestFit="1" customWidth="1"/>
    <col min="9" max="9" width="17.90625" customWidth="1"/>
    <col min="11" max="11" width="25" bestFit="1" customWidth="1"/>
    <col min="12" max="12" width="10.90625" bestFit="1" customWidth="1"/>
    <col min="13" max="13" width="12.6328125" bestFit="1" customWidth="1"/>
    <col min="14" max="14" width="14.08984375" bestFit="1" customWidth="1"/>
    <col min="15" max="15" width="13.54296875" bestFit="1" customWidth="1"/>
    <col min="16" max="16" width="17.1796875" bestFit="1" customWidth="1"/>
    <col min="17" max="17" width="20.54296875" bestFit="1" customWidth="1"/>
    <col min="18" max="18" width="12.36328125" customWidth="1"/>
    <col min="19" max="19" width="5.36328125" customWidth="1"/>
    <col min="20" max="20" width="10.26953125" customWidth="1"/>
    <col min="22" max="22" width="10.7265625" customWidth="1"/>
  </cols>
  <sheetData>
    <row r="1" spans="2:23" ht="15" thickBot="1" x14ac:dyDescent="0.4"/>
    <row r="2" spans="2:23" ht="31" customHeight="1" x14ac:dyDescent="0.35">
      <c r="B2" s="24" t="s">
        <v>5</v>
      </c>
      <c r="C2" s="25" t="s">
        <v>121</v>
      </c>
      <c r="D2" s="25" t="s">
        <v>33</v>
      </c>
      <c r="E2" s="26" t="s">
        <v>29</v>
      </c>
      <c r="F2" s="25" t="s">
        <v>34</v>
      </c>
      <c r="G2" s="25" t="s">
        <v>35</v>
      </c>
      <c r="H2" s="25" t="s">
        <v>36</v>
      </c>
      <c r="I2" s="27" t="s">
        <v>37</v>
      </c>
      <c r="K2" s="34" t="s">
        <v>144</v>
      </c>
      <c r="L2" s="35" t="s">
        <v>145</v>
      </c>
      <c r="M2" s="35" t="s">
        <v>146</v>
      </c>
      <c r="N2" s="35" t="s">
        <v>147</v>
      </c>
      <c r="O2" s="35" t="s">
        <v>148</v>
      </c>
      <c r="P2" s="35" t="s">
        <v>149</v>
      </c>
      <c r="Q2" s="35" t="s">
        <v>150</v>
      </c>
      <c r="R2" s="36" t="s">
        <v>40</v>
      </c>
      <c r="S2" s="33"/>
      <c r="T2" s="33" t="s">
        <v>41</v>
      </c>
      <c r="U2" s="33" t="s">
        <v>42</v>
      </c>
      <c r="V2" s="33" t="s">
        <v>43</v>
      </c>
      <c r="W2" s="33" t="s">
        <v>44</v>
      </c>
    </row>
    <row r="3" spans="2:23" x14ac:dyDescent="0.35">
      <c r="B3" s="94" t="s">
        <v>6</v>
      </c>
      <c r="C3" s="16" t="s">
        <v>32</v>
      </c>
      <c r="D3" s="15">
        <v>1</v>
      </c>
      <c r="E3" s="21">
        <v>1</v>
      </c>
      <c r="F3" s="29" t="s">
        <v>38</v>
      </c>
      <c r="G3" s="29" t="s">
        <v>38</v>
      </c>
      <c r="H3" s="29" t="s">
        <v>38</v>
      </c>
      <c r="I3" s="30" t="s">
        <v>38</v>
      </c>
      <c r="K3" s="37">
        <v>1</v>
      </c>
      <c r="L3" s="38" cm="1">
        <f t="array" ref="L3">AVERAGE(_xlfn._xlws.FILTER($F$3:$F$37,$C$3:$C$37=K3))</f>
        <v>8.1428571428570393E-2</v>
      </c>
      <c r="M3" s="38" cm="1">
        <f t="array" ref="M3">AVERAGE(_xlfn._xlws.FILTER($G$3:$G$37,$C$3:$C$37=K3))</f>
        <v>8.1428571428570393E-2</v>
      </c>
      <c r="N3" s="38" cm="1">
        <f t="array" ref="N3">MAX(_xlfn._xlws.FILTER($G$3:$G$37,$C$3:$C$37=K3))</f>
        <v>0.56999999999999273</v>
      </c>
      <c r="O3" s="39" t="str" cm="1">
        <f t="array" ref="O3">SUM(--(_xlfn._xlws.FILTER($G$3:$G$37,$C$3:$C$37=K3)&gt;0))&amp;"/"&amp;ROWS(_xlfn._xlws.FILTER($G$3:$G$37,$C$3:$C$37=K3))</f>
        <v>1/7</v>
      </c>
      <c r="P3" s="38" cm="1">
        <f t="array" ref="P3">AVERAGE(_xlfn._xlws.FILTER($I$3:$I$37,$C$3:$C$37=K3))</f>
        <v>0.42857142857142855</v>
      </c>
      <c r="Q3" s="39" cm="1">
        <f t="array" ref="Q3">MAX(_xlfn._xlws.FILTER($I$3:$I$37,$C$3:$C$37=K3))</f>
        <v>3</v>
      </c>
      <c r="R3" s="40">
        <f>CORREL(V3:V9,W3:W9)</f>
        <v>1</v>
      </c>
      <c r="S3" s="32"/>
      <c r="T3" cm="1">
        <f t="array" ref="T3:T9">_xlfn._xlws.FILTER($E$3:$E$37,($C$3:$C$37&amp;"")=($K3&amp;""))</f>
        <v>1</v>
      </c>
      <c r="U3" cm="1">
        <f t="array" ref="U3:U9">_xlfn._xlws.FILTER($E$3:$E$37,ISNUMBER(SEARCH("Baseline",$C$3:$C$37)))</f>
        <v>1</v>
      </c>
      <c r="V3">
        <f>_xlfn.RANK.AVG(T3,$T$3:$T$9,0)</f>
        <v>1</v>
      </c>
      <c r="W3">
        <f>_xlfn.RANK.AVG(U3,$U$3:$U$9,0)</f>
        <v>1</v>
      </c>
    </row>
    <row r="4" spans="2:23" x14ac:dyDescent="0.35">
      <c r="B4" s="94"/>
      <c r="C4" s="14">
        <v>1</v>
      </c>
      <c r="D4" s="15">
        <v>1</v>
      </c>
      <c r="E4" s="21">
        <v>1</v>
      </c>
      <c r="F4" s="23">
        <f>(E4-$E$3)*100</f>
        <v>0</v>
      </c>
      <c r="G4" s="23">
        <f>ABS(F4)</f>
        <v>0</v>
      </c>
      <c r="H4" s="15">
        <f>D4-$D$3</f>
        <v>0</v>
      </c>
      <c r="I4" s="17">
        <f>ABS(H4)</f>
        <v>0</v>
      </c>
      <c r="K4" s="37">
        <v>3</v>
      </c>
      <c r="L4" s="38" cm="1">
        <f t="array" ref="L4">AVERAGE(_xlfn._xlws.FILTER($F$3:$F$37,$C$3:$C$37=K4))</f>
        <v>0</v>
      </c>
      <c r="M4" s="38" cm="1">
        <f t="array" ref="M4">AVERAGE(_xlfn._xlws.FILTER($G$3:$G$37,$C$3:$C$37=K4))</f>
        <v>0</v>
      </c>
      <c r="N4" s="38" cm="1">
        <f t="array" ref="N4">MAX(_xlfn._xlws.FILTER($G$3:$G$37,$C$3:$C$37=K4))</f>
        <v>0</v>
      </c>
      <c r="O4" s="39" t="str" cm="1">
        <f t="array" ref="O4">SUM(--(_xlfn._xlws.FILTER($G$3:$G$37,$C$3:$C$37=K4)&gt;0))&amp;"/"&amp;ROWS(_xlfn._xlws.FILTER($G$3:$G$37,$C$3:$C$37=K4))</f>
        <v>0/7</v>
      </c>
      <c r="P4" s="38" cm="1">
        <f t="array" ref="P4">AVERAGE(_xlfn._xlws.FILTER($I$3:$I$37,$C$3:$C$37=K4))</f>
        <v>0</v>
      </c>
      <c r="Q4" s="39" cm="1">
        <f t="array" ref="Q4">MAX(_xlfn._xlws.FILTER($I$3:$I$37,$C$3:$C$37=K4))</f>
        <v>0</v>
      </c>
      <c r="R4" s="40">
        <f>CORREL(V11:V17,W3:W9)</f>
        <v>1</v>
      </c>
      <c r="S4" s="32"/>
      <c r="T4">
        <v>0.96609999999999996</v>
      </c>
      <c r="U4">
        <v>0.96609999999999996</v>
      </c>
      <c r="V4">
        <f t="shared" ref="V4:V9" si="0">_xlfn.RANK.AVG(T4,$T$3:$T$9,0)</f>
        <v>5</v>
      </c>
      <c r="W4">
        <f t="shared" ref="W4:W9" si="1">_xlfn.RANK.AVG(U4,$U$3:$U$9,0)</f>
        <v>5</v>
      </c>
    </row>
    <row r="5" spans="2:23" x14ac:dyDescent="0.35">
      <c r="B5" s="94"/>
      <c r="C5" s="14">
        <v>3</v>
      </c>
      <c r="D5" s="15">
        <v>1</v>
      </c>
      <c r="E5" s="21">
        <v>1</v>
      </c>
      <c r="F5" s="23">
        <f t="shared" ref="F5:F7" si="2">(E5-$E$3)*100</f>
        <v>0</v>
      </c>
      <c r="G5" s="23">
        <f t="shared" ref="G5:G37" si="3">ABS(F5)</f>
        <v>0</v>
      </c>
      <c r="H5" s="15">
        <f t="shared" ref="H5:H7" si="4">D5-$D$3</f>
        <v>0</v>
      </c>
      <c r="I5" s="17">
        <f t="shared" ref="I5:I37" si="5">ABS(H5)</f>
        <v>0</v>
      </c>
      <c r="K5" s="37">
        <v>0</v>
      </c>
      <c r="L5" s="38" cm="1">
        <f t="array" ref="L5">AVERAGE(_xlfn._xlws.FILTER($F$3:$F$37,$C$3:$C$37=K5))</f>
        <v>1.0357142857142858</v>
      </c>
      <c r="M5" s="38" cm="1">
        <f t="array" ref="M5">AVERAGE(_xlfn._xlws.FILTER($G$3:$G$37,$C$3:$C$37=K5))</f>
        <v>1.0357142857142858</v>
      </c>
      <c r="N5" s="38" cm="1">
        <f t="array" ref="N5">MAX(_xlfn._xlws.FILTER($G$3:$G$37,$C$3:$C$37=K5))</f>
        <v>4.489999999999994</v>
      </c>
      <c r="O5" s="39" t="str" cm="1">
        <f t="array" ref="O5">SUM(--(_xlfn._xlws.FILTER($G$3:$G$37,$C$3:$C$37=K5)&gt;0))&amp;"/"&amp;ROWS(_xlfn._xlws.FILTER($G$3:$G$37,$C$3:$C$37=K5))</f>
        <v>3/7</v>
      </c>
      <c r="P5" s="38" cm="1">
        <f t="array" ref="P5">AVERAGE(_xlfn._xlws.FILTER($I$3:$I$37,$C$3:$C$37=K5))</f>
        <v>2.7142857142857144</v>
      </c>
      <c r="Q5" s="39" cm="1">
        <f t="array" ref="Q5">MAX(_xlfn._xlws.FILTER($I$3:$I$37,$C$3:$C$37=K5))</f>
        <v>15</v>
      </c>
      <c r="R5" s="40">
        <f>CORREL(V19:V25,W3:W9)</f>
        <v>0.8928571428571429</v>
      </c>
      <c r="S5" s="32"/>
      <c r="T5">
        <v>0.92479999999999996</v>
      </c>
      <c r="U5">
        <v>0.91910000000000003</v>
      </c>
      <c r="V5">
        <f t="shared" si="0"/>
        <v>6</v>
      </c>
      <c r="W5">
        <f t="shared" si="1"/>
        <v>6</v>
      </c>
    </row>
    <row r="6" spans="2:23" ht="15" thickBot="1" x14ac:dyDescent="0.4">
      <c r="B6" s="94"/>
      <c r="C6" s="14">
        <v>0</v>
      </c>
      <c r="D6" s="15">
        <v>1</v>
      </c>
      <c r="E6" s="21">
        <v>1</v>
      </c>
      <c r="F6" s="23">
        <f t="shared" si="2"/>
        <v>0</v>
      </c>
      <c r="G6" s="23">
        <f t="shared" si="3"/>
        <v>0</v>
      </c>
      <c r="H6" s="15">
        <f t="shared" si="4"/>
        <v>0</v>
      </c>
      <c r="I6" s="17">
        <f t="shared" si="5"/>
        <v>0</v>
      </c>
      <c r="K6" s="31" t="s">
        <v>39</v>
      </c>
      <c r="L6" s="41" cm="1">
        <f t="array" ref="L6">AVERAGE(_xlfn._xlws.FILTER($F$3:$F$37,$C$3:$C$37=K6))</f>
        <v>-3.2371428571428544</v>
      </c>
      <c r="M6" s="41" cm="1">
        <f t="array" ref="M6">AVERAGE(_xlfn._xlws.FILTER($G$3:$G$37,$C$3:$C$37=K6))</f>
        <v>3.2371428571428544</v>
      </c>
      <c r="N6" s="41" cm="1">
        <f t="array" ref="N6">MAX(_xlfn._xlws.FILTER($G$3:$G$37,$C$3:$C$37=K6))</f>
        <v>7.2200000000000042</v>
      </c>
      <c r="O6" s="42" t="str" cm="1">
        <f t="array" ref="O6">SUM(--(_xlfn._xlws.FILTER($G$3:$G$37,$C$3:$C$37=K6)&gt;0))&amp;"/"&amp;ROWS(_xlfn._xlws.FILTER($G$3:$G$37,$C$3:$C$37=K6))</f>
        <v>7/7</v>
      </c>
      <c r="P6" s="41" cm="1">
        <f t="array" ref="P6">AVERAGE(_xlfn._xlws.FILTER($I$3:$I$37,$C$3:$C$37=K6))</f>
        <v>6</v>
      </c>
      <c r="Q6" s="42" cm="1">
        <f t="array" ref="Q6">MAX(_xlfn._xlws.FILTER($I$3:$I$37,$C$3:$C$37=K6))</f>
        <v>12</v>
      </c>
      <c r="R6" s="43">
        <f>CORREL(V27:V33,W3:W9)</f>
        <v>0.6428571428571429</v>
      </c>
      <c r="S6" s="32"/>
      <c r="T6">
        <v>0.98070000000000002</v>
      </c>
      <c r="U6">
        <v>0.98070000000000002</v>
      </c>
      <c r="V6">
        <f t="shared" si="0"/>
        <v>2</v>
      </c>
      <c r="W6">
        <f t="shared" si="1"/>
        <v>2</v>
      </c>
    </row>
    <row r="7" spans="2:23" x14ac:dyDescent="0.35">
      <c r="B7" s="94"/>
      <c r="C7" t="s">
        <v>39</v>
      </c>
      <c r="D7" s="15">
        <v>12</v>
      </c>
      <c r="E7" s="21">
        <v>0.92779999999999996</v>
      </c>
      <c r="F7" s="23">
        <f t="shared" si="2"/>
        <v>-7.2200000000000042</v>
      </c>
      <c r="G7" s="23">
        <f t="shared" si="3"/>
        <v>7.2200000000000042</v>
      </c>
      <c r="H7" s="15">
        <f t="shared" si="4"/>
        <v>11</v>
      </c>
      <c r="I7" s="17">
        <f t="shared" si="5"/>
        <v>11</v>
      </c>
      <c r="T7">
        <v>0.9032</v>
      </c>
      <c r="U7">
        <v>0.9032</v>
      </c>
      <c r="V7">
        <f t="shared" si="0"/>
        <v>7</v>
      </c>
      <c r="W7">
        <f t="shared" si="1"/>
        <v>7</v>
      </c>
    </row>
    <row r="8" spans="2:23" ht="15" thickBot="1" x14ac:dyDescent="0.4">
      <c r="B8" s="94" t="s">
        <v>7</v>
      </c>
      <c r="C8" s="16" t="s">
        <v>32</v>
      </c>
      <c r="D8" s="15">
        <v>5</v>
      </c>
      <c r="E8" s="21">
        <v>0.96609999999999996</v>
      </c>
      <c r="F8" s="29" t="s">
        <v>38</v>
      </c>
      <c r="G8" s="29" t="s">
        <v>38</v>
      </c>
      <c r="H8" s="29" t="s">
        <v>38</v>
      </c>
      <c r="I8" s="30" t="s">
        <v>38</v>
      </c>
      <c r="K8" s="107" t="s">
        <v>155</v>
      </c>
      <c r="L8" s="107"/>
      <c r="M8" s="107"/>
      <c r="N8" s="107"/>
      <c r="O8" s="107"/>
      <c r="P8" s="107"/>
      <c r="Q8" s="107"/>
      <c r="R8" s="107"/>
      <c r="T8">
        <v>0.97599999999999998</v>
      </c>
      <c r="U8">
        <v>0.97599999999999998</v>
      </c>
      <c r="V8">
        <f t="shared" si="0"/>
        <v>3</v>
      </c>
      <c r="W8">
        <f t="shared" si="1"/>
        <v>3</v>
      </c>
    </row>
    <row r="9" spans="2:23" ht="29" x14ac:dyDescent="0.35">
      <c r="B9" s="94"/>
      <c r="C9" s="14">
        <v>1</v>
      </c>
      <c r="D9" s="15">
        <v>5</v>
      </c>
      <c r="E9" s="21">
        <v>0.96609999999999996</v>
      </c>
      <c r="F9" s="23">
        <f>(E9-$E$8)*100</f>
        <v>0</v>
      </c>
      <c r="G9" s="23">
        <f t="shared" si="3"/>
        <v>0</v>
      </c>
      <c r="H9" s="15">
        <f>D9-$D$8</f>
        <v>0</v>
      </c>
      <c r="I9" s="17">
        <f t="shared" si="5"/>
        <v>0</v>
      </c>
      <c r="K9" s="80" t="s">
        <v>144</v>
      </c>
      <c r="L9" s="81" t="s">
        <v>145</v>
      </c>
      <c r="M9" s="81" t="s">
        <v>146</v>
      </c>
      <c r="N9" s="81" t="s">
        <v>147</v>
      </c>
      <c r="O9" s="81" t="s">
        <v>148</v>
      </c>
      <c r="P9" s="81" t="s">
        <v>149</v>
      </c>
      <c r="Q9" s="81" t="s">
        <v>150</v>
      </c>
      <c r="R9" s="82" t="s">
        <v>40</v>
      </c>
      <c r="T9">
        <v>0.97019999999999995</v>
      </c>
      <c r="U9">
        <v>0.97019999999999995</v>
      </c>
      <c r="V9">
        <f t="shared" si="0"/>
        <v>4</v>
      </c>
      <c r="W9">
        <f t="shared" si="1"/>
        <v>4</v>
      </c>
    </row>
    <row r="10" spans="2:23" x14ac:dyDescent="0.35">
      <c r="B10" s="94"/>
      <c r="C10" s="14">
        <v>3</v>
      </c>
      <c r="D10" s="15">
        <v>5</v>
      </c>
      <c r="E10" s="21">
        <v>0.96609999999999996</v>
      </c>
      <c r="F10" s="23">
        <f t="shared" ref="F10:F12" si="6">(E10-$E$8)*100</f>
        <v>0</v>
      </c>
      <c r="G10" s="23">
        <f t="shared" si="3"/>
        <v>0</v>
      </c>
      <c r="H10" s="15">
        <f t="shared" ref="H10:H12" si="7">D10-$D$8</f>
        <v>0</v>
      </c>
      <c r="I10" s="17">
        <f t="shared" si="5"/>
        <v>0</v>
      </c>
      <c r="K10" s="37" t="s">
        <v>39</v>
      </c>
      <c r="L10" s="85">
        <v>-3.2371428571428544</v>
      </c>
      <c r="M10" s="85">
        <v>3.2371428571428544</v>
      </c>
      <c r="N10" s="85">
        <v>7.2200000000000042</v>
      </c>
      <c r="O10" s="76" t="s">
        <v>154</v>
      </c>
      <c r="P10" s="85">
        <v>6</v>
      </c>
      <c r="Q10" s="76">
        <v>12</v>
      </c>
      <c r="R10" s="86">
        <v>0.6428571428571429</v>
      </c>
    </row>
    <row r="11" spans="2:23" x14ac:dyDescent="0.35">
      <c r="B11" s="94"/>
      <c r="C11" s="14">
        <v>0</v>
      </c>
      <c r="D11" s="15">
        <v>2</v>
      </c>
      <c r="E11" s="21">
        <v>0.98280000000000001</v>
      </c>
      <c r="F11" s="23">
        <f t="shared" si="6"/>
        <v>1.6700000000000048</v>
      </c>
      <c r="G11" s="23">
        <f t="shared" si="3"/>
        <v>1.6700000000000048</v>
      </c>
      <c r="H11" s="15">
        <f t="shared" si="7"/>
        <v>-3</v>
      </c>
      <c r="I11" s="17">
        <f t="shared" si="5"/>
        <v>3</v>
      </c>
      <c r="K11" s="37">
        <v>0</v>
      </c>
      <c r="L11" s="85">
        <v>1.0357142857142858</v>
      </c>
      <c r="M11" s="85">
        <v>1.0357142857142858</v>
      </c>
      <c r="N11" s="85">
        <v>4.489999999999994</v>
      </c>
      <c r="O11" s="76" t="s">
        <v>153</v>
      </c>
      <c r="P11" s="85">
        <v>2.7142857142857144</v>
      </c>
      <c r="Q11" s="76">
        <v>15</v>
      </c>
      <c r="R11" s="86">
        <v>0.8928571428571429</v>
      </c>
      <c r="T11" cm="1">
        <f t="array" ref="T11:T17">_xlfn._xlws.FILTER($E$3:$E$37,($C$3:$C$37&amp;"")=($K4&amp;""))</f>
        <v>1</v>
      </c>
      <c r="V11">
        <f>_xlfn.RANK.AVG(T11,$T$11:$T$17,0)</f>
        <v>1</v>
      </c>
    </row>
    <row r="12" spans="2:23" x14ac:dyDescent="0.35">
      <c r="B12" s="94"/>
      <c r="C12" t="s">
        <v>39</v>
      </c>
      <c r="D12" s="15">
        <v>12</v>
      </c>
      <c r="E12" s="21">
        <v>0.94320000000000004</v>
      </c>
      <c r="F12" s="23">
        <f t="shared" si="6"/>
        <v>-2.289999999999992</v>
      </c>
      <c r="G12" s="23">
        <f t="shared" si="3"/>
        <v>2.289999999999992</v>
      </c>
      <c r="H12" s="15">
        <f t="shared" si="7"/>
        <v>7</v>
      </c>
      <c r="I12" s="17">
        <f t="shared" si="5"/>
        <v>7</v>
      </c>
      <c r="K12" s="37">
        <v>1</v>
      </c>
      <c r="L12" s="85">
        <v>8.1428571428570393E-2</v>
      </c>
      <c r="M12" s="85">
        <v>8.1428571428570393E-2</v>
      </c>
      <c r="N12" s="85">
        <v>0.56999999999999273</v>
      </c>
      <c r="O12" s="76" t="s">
        <v>151</v>
      </c>
      <c r="P12" s="85">
        <v>0.42857142857142855</v>
      </c>
      <c r="Q12" s="76">
        <v>3</v>
      </c>
      <c r="R12" s="86">
        <v>1</v>
      </c>
      <c r="T12">
        <v>0.96609999999999996</v>
      </c>
      <c r="V12">
        <f t="shared" ref="V12:V17" si="8">_xlfn.RANK.AVG(T12,$T$11:$T$17,0)</f>
        <v>5</v>
      </c>
    </row>
    <row r="13" spans="2:23" ht="15" thickBot="1" x14ac:dyDescent="0.4">
      <c r="B13" s="94" t="s">
        <v>8</v>
      </c>
      <c r="C13" s="16" t="s">
        <v>32</v>
      </c>
      <c r="D13" s="15">
        <v>20</v>
      </c>
      <c r="E13" s="21">
        <v>0.91910000000000003</v>
      </c>
      <c r="F13" s="29" t="s">
        <v>38</v>
      </c>
      <c r="G13" s="29" t="s">
        <v>38</v>
      </c>
      <c r="H13" s="29" t="s">
        <v>38</v>
      </c>
      <c r="I13" s="30" t="s">
        <v>38</v>
      </c>
      <c r="K13" s="87">
        <v>3</v>
      </c>
      <c r="L13" s="88">
        <v>0</v>
      </c>
      <c r="M13" s="88">
        <v>0</v>
      </c>
      <c r="N13" s="88">
        <v>0</v>
      </c>
      <c r="O13" s="78" t="s">
        <v>152</v>
      </c>
      <c r="P13" s="88">
        <v>0</v>
      </c>
      <c r="Q13" s="78">
        <v>0</v>
      </c>
      <c r="R13" s="89">
        <v>1</v>
      </c>
      <c r="T13">
        <v>0.91910000000000003</v>
      </c>
      <c r="V13">
        <f t="shared" si="8"/>
        <v>6</v>
      </c>
    </row>
    <row r="14" spans="2:23" x14ac:dyDescent="0.35">
      <c r="B14" s="94"/>
      <c r="C14" s="14">
        <v>1</v>
      </c>
      <c r="D14" s="15">
        <v>17</v>
      </c>
      <c r="E14" s="21">
        <v>0.92479999999999996</v>
      </c>
      <c r="F14" s="23">
        <f>(E14-$E$13)*100</f>
        <v>0.56999999999999273</v>
      </c>
      <c r="G14" s="23">
        <f t="shared" si="3"/>
        <v>0.56999999999999273</v>
      </c>
      <c r="H14" s="15">
        <f>D14-$D$13</f>
        <v>-3</v>
      </c>
      <c r="I14" s="17">
        <f t="shared" si="5"/>
        <v>3</v>
      </c>
      <c r="K14" s="91" t="s">
        <v>156</v>
      </c>
      <c r="L14" s="92"/>
      <c r="M14" s="92"/>
      <c r="N14" s="92"/>
      <c r="O14" s="92"/>
      <c r="P14" s="92"/>
      <c r="Q14" s="92"/>
      <c r="R14" s="92"/>
      <c r="T14">
        <v>0.98070000000000002</v>
      </c>
      <c r="V14">
        <f t="shared" si="8"/>
        <v>2</v>
      </c>
    </row>
    <row r="15" spans="2:23" x14ac:dyDescent="0.35">
      <c r="B15" s="94"/>
      <c r="C15" s="14">
        <v>3</v>
      </c>
      <c r="D15" s="15">
        <v>20</v>
      </c>
      <c r="E15" s="21">
        <v>0.91910000000000003</v>
      </c>
      <c r="F15" s="23">
        <f t="shared" ref="F15:F17" si="9">(E15-$E$13)*100</f>
        <v>0</v>
      </c>
      <c r="G15" s="23">
        <f t="shared" si="3"/>
        <v>0</v>
      </c>
      <c r="H15" s="15">
        <f t="shared" ref="H15:H17" si="10">D15-$D$13</f>
        <v>0</v>
      </c>
      <c r="I15" s="17">
        <f t="shared" si="5"/>
        <v>0</v>
      </c>
      <c r="K15" s="93"/>
      <c r="L15" s="93"/>
      <c r="M15" s="93"/>
      <c r="N15" s="93"/>
      <c r="O15" s="93"/>
      <c r="P15" s="93"/>
      <c r="Q15" s="93"/>
      <c r="R15" s="93"/>
      <c r="T15">
        <v>0.9032</v>
      </c>
      <c r="V15">
        <f t="shared" si="8"/>
        <v>7</v>
      </c>
    </row>
    <row r="16" spans="2:23" ht="59.5" customHeight="1" x14ac:dyDescent="0.35">
      <c r="B16" s="94"/>
      <c r="C16" s="14">
        <v>0</v>
      </c>
      <c r="D16" s="15">
        <v>5</v>
      </c>
      <c r="E16" s="21">
        <v>0.96399999999999997</v>
      </c>
      <c r="F16" s="23">
        <f t="shared" si="9"/>
        <v>4.489999999999994</v>
      </c>
      <c r="G16" s="23">
        <f t="shared" si="3"/>
        <v>4.489999999999994</v>
      </c>
      <c r="H16" s="15">
        <f t="shared" si="10"/>
        <v>-15</v>
      </c>
      <c r="I16" s="17">
        <f t="shared" si="5"/>
        <v>15</v>
      </c>
      <c r="K16" s="93"/>
      <c r="L16" s="93"/>
      <c r="M16" s="93"/>
      <c r="N16" s="93"/>
      <c r="O16" s="93"/>
      <c r="P16" s="93"/>
      <c r="Q16" s="93"/>
      <c r="R16" s="93"/>
      <c r="T16">
        <v>0.97599999999999998</v>
      </c>
      <c r="V16">
        <f t="shared" si="8"/>
        <v>3</v>
      </c>
    </row>
    <row r="17" spans="2:22" x14ac:dyDescent="0.35">
      <c r="B17" s="94"/>
      <c r="C17" t="s">
        <v>39</v>
      </c>
      <c r="D17" s="15">
        <v>32</v>
      </c>
      <c r="E17" s="21">
        <v>0.89370000000000005</v>
      </c>
      <c r="F17" s="23">
        <f t="shared" si="9"/>
        <v>-2.5399999999999978</v>
      </c>
      <c r="G17" s="23">
        <f t="shared" si="3"/>
        <v>2.5399999999999978</v>
      </c>
      <c r="H17" s="15">
        <f t="shared" si="10"/>
        <v>12</v>
      </c>
      <c r="I17" s="17">
        <f t="shared" si="5"/>
        <v>12</v>
      </c>
      <c r="T17">
        <v>0.97019999999999995</v>
      </c>
      <c r="V17">
        <f t="shared" si="8"/>
        <v>4</v>
      </c>
    </row>
    <row r="18" spans="2:22" x14ac:dyDescent="0.35">
      <c r="B18" s="94" t="s">
        <v>9</v>
      </c>
      <c r="C18" s="16" t="s">
        <v>32</v>
      </c>
      <c r="D18" s="15">
        <v>3</v>
      </c>
      <c r="E18" s="21">
        <v>0.98070000000000002</v>
      </c>
      <c r="F18" s="29" t="s">
        <v>38</v>
      </c>
      <c r="G18" s="29" t="s">
        <v>38</v>
      </c>
      <c r="H18" s="29" t="s">
        <v>38</v>
      </c>
      <c r="I18" s="30" t="s">
        <v>38</v>
      </c>
    </row>
    <row r="19" spans="2:22" x14ac:dyDescent="0.35">
      <c r="B19" s="94"/>
      <c r="C19" s="14">
        <v>1</v>
      </c>
      <c r="D19" s="15">
        <v>3</v>
      </c>
      <c r="E19" s="21">
        <v>0.98070000000000002</v>
      </c>
      <c r="F19" s="23">
        <f>(E19-$E$18)*100</f>
        <v>0</v>
      </c>
      <c r="G19" s="23">
        <f t="shared" si="3"/>
        <v>0</v>
      </c>
      <c r="H19" s="15">
        <f>D19-$D$18</f>
        <v>0</v>
      </c>
      <c r="I19" s="17">
        <f t="shared" si="5"/>
        <v>0</v>
      </c>
      <c r="T19" cm="1">
        <f t="array" ref="T19:T25">_xlfn._xlws.FILTER($E$3:$E$37,($C$3:$C$37&amp;"")=($K5&amp;""))</f>
        <v>1</v>
      </c>
      <c r="V19">
        <f>_xlfn.RANK.AVG(T19,$T$19:$T$25,0)</f>
        <v>1</v>
      </c>
    </row>
    <row r="20" spans="2:22" x14ac:dyDescent="0.35">
      <c r="B20" s="94"/>
      <c r="C20" s="14">
        <v>3</v>
      </c>
      <c r="D20" s="15">
        <v>3</v>
      </c>
      <c r="E20" s="21">
        <v>0.98070000000000002</v>
      </c>
      <c r="F20" s="23">
        <f t="shared" ref="F20:F22" si="11">(E20-$E$18)*100</f>
        <v>0</v>
      </c>
      <c r="G20" s="23">
        <f t="shared" si="3"/>
        <v>0</v>
      </c>
      <c r="H20" s="15">
        <f t="shared" ref="H20:H22" si="12">D20-$D$18</f>
        <v>0</v>
      </c>
      <c r="I20" s="17">
        <f t="shared" si="5"/>
        <v>0</v>
      </c>
      <c r="T20">
        <v>0.98280000000000001</v>
      </c>
      <c r="V20">
        <f t="shared" ref="V20:V25" si="13">_xlfn.RANK.AVG(T20,$T$19:$T$25,0)</f>
        <v>3</v>
      </c>
    </row>
    <row r="21" spans="2:22" x14ac:dyDescent="0.35">
      <c r="B21" s="94"/>
      <c r="C21" s="14">
        <v>0</v>
      </c>
      <c r="D21" s="15">
        <v>2</v>
      </c>
      <c r="E21" s="21">
        <v>0.99160000000000004</v>
      </c>
      <c r="F21" s="23">
        <f t="shared" si="11"/>
        <v>1.0900000000000021</v>
      </c>
      <c r="G21" s="23">
        <f t="shared" si="3"/>
        <v>1.0900000000000021</v>
      </c>
      <c r="H21" s="15">
        <f t="shared" si="12"/>
        <v>-1</v>
      </c>
      <c r="I21" s="17">
        <f t="shared" si="5"/>
        <v>1</v>
      </c>
      <c r="T21">
        <v>0.96399999999999997</v>
      </c>
      <c r="V21">
        <f t="shared" si="13"/>
        <v>6</v>
      </c>
    </row>
    <row r="22" spans="2:22" x14ac:dyDescent="0.35">
      <c r="B22" s="94"/>
      <c r="C22" t="s">
        <v>39</v>
      </c>
      <c r="D22" s="15">
        <v>6</v>
      </c>
      <c r="E22" s="21">
        <v>0.96540000000000004</v>
      </c>
      <c r="F22" s="23">
        <f t="shared" si="11"/>
        <v>-1.529999999999998</v>
      </c>
      <c r="G22" s="23">
        <f t="shared" si="3"/>
        <v>1.529999999999998</v>
      </c>
      <c r="H22" s="15">
        <f t="shared" si="12"/>
        <v>3</v>
      </c>
      <c r="I22" s="17">
        <f t="shared" si="5"/>
        <v>3</v>
      </c>
      <c r="T22">
        <v>0.99160000000000004</v>
      </c>
      <c r="V22">
        <f t="shared" si="13"/>
        <v>2</v>
      </c>
    </row>
    <row r="23" spans="2:22" x14ac:dyDescent="0.35">
      <c r="B23" s="94" t="s">
        <v>10</v>
      </c>
      <c r="C23" s="16" t="s">
        <v>32</v>
      </c>
      <c r="D23" s="15">
        <v>4</v>
      </c>
      <c r="E23" s="21">
        <v>0.9032</v>
      </c>
      <c r="F23" s="29" t="s">
        <v>38</v>
      </c>
      <c r="G23" s="29" t="s">
        <v>38</v>
      </c>
      <c r="H23" s="29" t="s">
        <v>38</v>
      </c>
      <c r="I23" s="30" t="s">
        <v>38</v>
      </c>
      <c r="T23">
        <v>0.9032</v>
      </c>
      <c r="V23">
        <f t="shared" si="13"/>
        <v>7</v>
      </c>
    </row>
    <row r="24" spans="2:22" x14ac:dyDescent="0.35">
      <c r="B24" s="94"/>
      <c r="C24" s="14">
        <v>1</v>
      </c>
      <c r="D24" s="15">
        <v>4</v>
      </c>
      <c r="E24" s="21">
        <v>0.9032</v>
      </c>
      <c r="F24" s="23">
        <f>(E24-$E$23)*100</f>
        <v>0</v>
      </c>
      <c r="G24" s="23">
        <f t="shared" si="3"/>
        <v>0</v>
      </c>
      <c r="H24" s="15">
        <f>D24-$D$23</f>
        <v>0</v>
      </c>
      <c r="I24" s="17">
        <f t="shared" si="5"/>
        <v>0</v>
      </c>
      <c r="T24">
        <v>0.97599999999999998</v>
      </c>
      <c r="V24">
        <f t="shared" si="13"/>
        <v>4</v>
      </c>
    </row>
    <row r="25" spans="2:22" x14ac:dyDescent="0.35">
      <c r="B25" s="94"/>
      <c r="C25" s="14">
        <v>3</v>
      </c>
      <c r="D25" s="15">
        <v>4</v>
      </c>
      <c r="E25" s="21">
        <v>0.9032</v>
      </c>
      <c r="F25" s="23">
        <f t="shared" ref="F25:F27" si="14">(E25-$E$23)*100</f>
        <v>0</v>
      </c>
      <c r="G25" s="23">
        <f t="shared" si="3"/>
        <v>0</v>
      </c>
      <c r="H25" s="15">
        <f t="shared" ref="H25:H27" si="15">D25-$D$23</f>
        <v>0</v>
      </c>
      <c r="I25" s="17">
        <f t="shared" si="5"/>
        <v>0</v>
      </c>
      <c r="T25">
        <v>0.97019999999999995</v>
      </c>
      <c r="V25">
        <f t="shared" si="13"/>
        <v>5</v>
      </c>
    </row>
    <row r="26" spans="2:22" x14ac:dyDescent="0.35">
      <c r="B26" s="94"/>
      <c r="C26" s="14">
        <v>0</v>
      </c>
      <c r="D26" s="15">
        <v>4</v>
      </c>
      <c r="E26" s="21">
        <v>0.9032</v>
      </c>
      <c r="F26" s="23">
        <f t="shared" si="14"/>
        <v>0</v>
      </c>
      <c r="G26" s="23">
        <f t="shared" si="3"/>
        <v>0</v>
      </c>
      <c r="H26" s="15">
        <f t="shared" si="15"/>
        <v>0</v>
      </c>
      <c r="I26" s="17">
        <f t="shared" si="5"/>
        <v>0</v>
      </c>
    </row>
    <row r="27" spans="2:22" x14ac:dyDescent="0.35">
      <c r="B27" s="94"/>
      <c r="C27" t="s">
        <v>39</v>
      </c>
      <c r="D27" s="15">
        <v>6</v>
      </c>
      <c r="E27" s="21">
        <v>0.86170000000000002</v>
      </c>
      <c r="F27" s="23">
        <f t="shared" si="14"/>
        <v>-4.1499999999999986</v>
      </c>
      <c r="G27" s="23">
        <f t="shared" si="3"/>
        <v>4.1499999999999986</v>
      </c>
      <c r="H27" s="15">
        <f t="shared" si="15"/>
        <v>2</v>
      </c>
      <c r="I27" s="17">
        <f t="shared" si="5"/>
        <v>2</v>
      </c>
      <c r="T27" cm="1">
        <f t="array" ref="T27:T33">_xlfn._xlws.FILTER($E$3:$E$37,($C$3:$C$37&amp;"")=($K6&amp;""))</f>
        <v>0.92779999999999996</v>
      </c>
      <c r="V27">
        <f>_xlfn.RANK.AVG(T27,$T$27:$T$33,0)</f>
        <v>5</v>
      </c>
    </row>
    <row r="28" spans="2:22" x14ac:dyDescent="0.35">
      <c r="B28" s="94" t="s">
        <v>11</v>
      </c>
      <c r="C28" s="16" t="s">
        <v>32</v>
      </c>
      <c r="D28" s="15">
        <v>3</v>
      </c>
      <c r="E28" s="21">
        <v>0.97599999999999998</v>
      </c>
      <c r="F28" s="29" t="s">
        <v>38</v>
      </c>
      <c r="G28" s="29" t="s">
        <v>38</v>
      </c>
      <c r="H28" s="29" t="s">
        <v>38</v>
      </c>
      <c r="I28" s="30" t="s">
        <v>38</v>
      </c>
      <c r="T28">
        <v>0.94320000000000004</v>
      </c>
      <c r="V28">
        <f t="shared" ref="V28:V33" si="16">_xlfn.RANK.AVG(T28,$T$27:$T$33,0)</f>
        <v>4</v>
      </c>
    </row>
    <row r="29" spans="2:22" x14ac:dyDescent="0.35">
      <c r="B29" s="94"/>
      <c r="C29" s="14">
        <v>1</v>
      </c>
      <c r="D29" s="15">
        <v>3</v>
      </c>
      <c r="E29" s="21">
        <v>0.97599999999999998</v>
      </c>
      <c r="F29" s="23">
        <f>(E29-$E$28)*100</f>
        <v>0</v>
      </c>
      <c r="G29" s="23">
        <f t="shared" si="3"/>
        <v>0</v>
      </c>
      <c r="H29" s="15">
        <f>D29-$D$28</f>
        <v>0</v>
      </c>
      <c r="I29" s="17">
        <f t="shared" si="5"/>
        <v>0</v>
      </c>
      <c r="T29">
        <v>0.89370000000000005</v>
      </c>
      <c r="V29">
        <f t="shared" si="16"/>
        <v>6</v>
      </c>
    </row>
    <row r="30" spans="2:22" x14ac:dyDescent="0.35">
      <c r="B30" s="94"/>
      <c r="C30" s="14">
        <v>3</v>
      </c>
      <c r="D30" s="15">
        <v>3</v>
      </c>
      <c r="E30" s="21">
        <v>0.97599999999999998</v>
      </c>
      <c r="F30" s="23">
        <f t="shared" ref="F30:F32" si="17">(E30-$E$28)*100</f>
        <v>0</v>
      </c>
      <c r="G30" s="23">
        <f t="shared" si="3"/>
        <v>0</v>
      </c>
      <c r="H30" s="15">
        <f t="shared" ref="H30:H32" si="18">D30-$D$28</f>
        <v>0</v>
      </c>
      <c r="I30" s="17">
        <f t="shared" si="5"/>
        <v>0</v>
      </c>
      <c r="T30">
        <v>0.96540000000000004</v>
      </c>
      <c r="V30">
        <f t="shared" si="16"/>
        <v>1</v>
      </c>
    </row>
    <row r="31" spans="2:22" x14ac:dyDescent="0.35">
      <c r="B31" s="94"/>
      <c r="C31" s="14">
        <v>0</v>
      </c>
      <c r="D31" s="15">
        <v>3</v>
      </c>
      <c r="E31" s="21">
        <v>0.97599999999999998</v>
      </c>
      <c r="F31" s="23">
        <f t="shared" si="17"/>
        <v>0</v>
      </c>
      <c r="G31" s="23">
        <f t="shared" si="3"/>
        <v>0</v>
      </c>
      <c r="H31" s="15">
        <f t="shared" si="18"/>
        <v>0</v>
      </c>
      <c r="I31" s="17">
        <f t="shared" si="5"/>
        <v>0</v>
      </c>
      <c r="T31">
        <v>0.86170000000000002</v>
      </c>
      <c r="V31">
        <f t="shared" si="16"/>
        <v>7</v>
      </c>
    </row>
    <row r="32" spans="2:22" x14ac:dyDescent="0.35">
      <c r="B32" s="94"/>
      <c r="C32" t="s">
        <v>39</v>
      </c>
      <c r="D32" s="15">
        <v>7</v>
      </c>
      <c r="E32" s="21">
        <v>0.95330000000000004</v>
      </c>
      <c r="F32" s="23">
        <f t="shared" si="17"/>
        <v>-2.2699999999999942</v>
      </c>
      <c r="G32" s="23">
        <f t="shared" si="3"/>
        <v>2.2699999999999942</v>
      </c>
      <c r="H32" s="15">
        <f t="shared" si="18"/>
        <v>4</v>
      </c>
      <c r="I32" s="17">
        <f t="shared" si="5"/>
        <v>4</v>
      </c>
      <c r="T32">
        <v>0.95330000000000004</v>
      </c>
      <c r="V32">
        <f t="shared" si="16"/>
        <v>2</v>
      </c>
    </row>
    <row r="33" spans="2:22" x14ac:dyDescent="0.35">
      <c r="B33" s="94" t="s">
        <v>12</v>
      </c>
      <c r="C33" s="16" t="s">
        <v>32</v>
      </c>
      <c r="D33" s="15">
        <v>3</v>
      </c>
      <c r="E33" s="21">
        <v>0.97019999999999995</v>
      </c>
      <c r="F33" s="29" t="s">
        <v>38</v>
      </c>
      <c r="G33" s="29" t="s">
        <v>38</v>
      </c>
      <c r="H33" s="29" t="s">
        <v>38</v>
      </c>
      <c r="I33" s="30" t="s">
        <v>38</v>
      </c>
      <c r="T33">
        <v>0.94359999999999999</v>
      </c>
      <c r="V33">
        <f t="shared" si="16"/>
        <v>3</v>
      </c>
    </row>
    <row r="34" spans="2:22" x14ac:dyDescent="0.35">
      <c r="B34" s="94"/>
      <c r="C34" s="14">
        <v>1</v>
      </c>
      <c r="D34" s="15">
        <v>3</v>
      </c>
      <c r="E34" s="21">
        <v>0.97019999999999995</v>
      </c>
      <c r="F34" s="23">
        <f>(E34-$E$33)*100</f>
        <v>0</v>
      </c>
      <c r="G34" s="23">
        <f t="shared" si="3"/>
        <v>0</v>
      </c>
      <c r="H34" s="15">
        <f>D34-$D$33</f>
        <v>0</v>
      </c>
      <c r="I34" s="17">
        <f t="shared" si="5"/>
        <v>0</v>
      </c>
    </row>
    <row r="35" spans="2:22" x14ac:dyDescent="0.35">
      <c r="B35" s="94"/>
      <c r="C35" s="14">
        <v>3</v>
      </c>
      <c r="D35" s="15">
        <v>3</v>
      </c>
      <c r="E35" s="21">
        <v>0.97019999999999995</v>
      </c>
      <c r="F35" s="23">
        <f t="shared" ref="F35:F37" si="19">(E35-$E$33)*100</f>
        <v>0</v>
      </c>
      <c r="G35" s="23">
        <f t="shared" si="3"/>
        <v>0</v>
      </c>
      <c r="H35" s="15">
        <f t="shared" ref="H35:H37" si="20">D35-$D$33</f>
        <v>0</v>
      </c>
      <c r="I35" s="17">
        <f t="shared" si="5"/>
        <v>0</v>
      </c>
    </row>
    <row r="36" spans="2:22" x14ac:dyDescent="0.35">
      <c r="B36" s="94"/>
      <c r="C36" s="14">
        <v>0</v>
      </c>
      <c r="D36" s="15">
        <v>3</v>
      </c>
      <c r="E36" s="21">
        <v>0.97019999999999995</v>
      </c>
      <c r="F36" s="23">
        <f t="shared" si="19"/>
        <v>0</v>
      </c>
      <c r="G36" s="23">
        <f t="shared" si="3"/>
        <v>0</v>
      </c>
      <c r="H36" s="15">
        <f t="shared" si="20"/>
        <v>0</v>
      </c>
      <c r="I36" s="17">
        <f t="shared" si="5"/>
        <v>0</v>
      </c>
    </row>
    <row r="37" spans="2:22" ht="15" thickBot="1" x14ac:dyDescent="0.4">
      <c r="B37" s="95"/>
      <c r="C37" s="18" t="s">
        <v>39</v>
      </c>
      <c r="D37" s="19">
        <v>6</v>
      </c>
      <c r="E37" s="22">
        <v>0.94359999999999999</v>
      </c>
      <c r="F37" s="28">
        <f t="shared" si="19"/>
        <v>-2.6599999999999957</v>
      </c>
      <c r="G37" s="28">
        <f t="shared" si="3"/>
        <v>2.6599999999999957</v>
      </c>
      <c r="H37" s="19">
        <f t="shared" si="20"/>
        <v>3</v>
      </c>
      <c r="I37" s="20">
        <f t="shared" si="5"/>
        <v>3</v>
      </c>
    </row>
  </sheetData>
  <mergeCells count="9">
    <mergeCell ref="K8:R8"/>
    <mergeCell ref="K14:R16"/>
    <mergeCell ref="B8:B12"/>
    <mergeCell ref="B3:B7"/>
    <mergeCell ref="B33:B37"/>
    <mergeCell ref="B28:B32"/>
    <mergeCell ref="B23:B27"/>
    <mergeCell ref="B18:B22"/>
    <mergeCell ref="B13:B1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BDDB3-55CD-4A26-AA12-821D81B066C9}">
  <sheetPr>
    <pageSetUpPr fitToPage="1"/>
  </sheetPr>
  <dimension ref="A1:AW171"/>
  <sheetViews>
    <sheetView topLeftCell="Y7" zoomScale="130" zoomScaleNormal="130" workbookViewId="0">
      <selection activeCell="AD23" sqref="AD23"/>
    </sheetView>
    <sheetView topLeftCell="W14" zoomScale="145" zoomScaleNormal="145" workbookViewId="1">
      <selection activeCell="Y27" sqref="Y27:AF28"/>
    </sheetView>
  </sheetViews>
  <sheetFormatPr defaultRowHeight="14.5" x14ac:dyDescent="0.35"/>
  <cols>
    <col min="1" max="1" width="5" bestFit="1" customWidth="1"/>
    <col min="2" max="2" width="28.453125" bestFit="1" customWidth="1"/>
    <col min="3" max="3" width="9.1796875" bestFit="1" customWidth="1"/>
    <col min="4" max="4" width="13.08984375" bestFit="1" customWidth="1"/>
    <col min="5" max="5" width="9" bestFit="1" customWidth="1"/>
    <col min="6" max="6" width="14.6328125" bestFit="1" customWidth="1"/>
    <col min="7" max="7" width="19.6328125" bestFit="1" customWidth="1"/>
    <col min="8" max="8" width="16.81640625" style="48" bestFit="1" customWidth="1"/>
    <col min="9" max="9" width="19.6328125" style="48" customWidth="1"/>
    <col min="10" max="10" width="8.08984375" customWidth="1"/>
    <col min="11" max="11" width="16.7265625" customWidth="1"/>
    <col min="12" max="12" width="16.81640625" customWidth="1"/>
    <col min="13" max="13" width="16.453125" customWidth="1"/>
    <col min="14" max="14" width="18.1796875" customWidth="1"/>
    <col min="15" max="15" width="16.453125" customWidth="1"/>
    <col min="16" max="16" width="19.453125" customWidth="1"/>
    <col min="17" max="17" width="11.54296875" customWidth="1"/>
    <col min="18" max="18" width="19.26953125" bestFit="1" customWidth="1"/>
    <col min="19" max="19" width="19.90625" bestFit="1" customWidth="1"/>
    <col min="20" max="20" width="18.1796875" bestFit="1" customWidth="1"/>
    <col min="21" max="21" width="23.81640625" bestFit="1" customWidth="1"/>
    <col min="22" max="22" width="8.6328125" bestFit="1" customWidth="1"/>
    <col min="23" max="24" width="10.36328125" bestFit="1" customWidth="1"/>
    <col min="25" max="25" width="33.1796875" bestFit="1" customWidth="1"/>
    <col min="26" max="26" width="9.6328125" bestFit="1" customWidth="1"/>
    <col min="27" max="27" width="16.08984375" hidden="1" customWidth="1"/>
    <col min="28" max="28" width="10.90625" bestFit="1" customWidth="1"/>
    <col min="29" max="29" width="15.1796875" bestFit="1" customWidth="1"/>
    <col min="30" max="30" width="16.453125" bestFit="1" customWidth="1"/>
    <col min="31" max="31" width="17.08984375" bestFit="1" customWidth="1"/>
    <col min="32" max="32" width="14.1796875" customWidth="1"/>
    <col min="33" max="33" width="16.08984375" bestFit="1" customWidth="1"/>
    <col min="34" max="34" width="17.54296875" bestFit="1" customWidth="1"/>
    <col min="35" max="35" width="17.08984375" bestFit="1" customWidth="1"/>
    <col min="36" max="36" width="18.90625" bestFit="1" customWidth="1"/>
    <col min="37" max="37" width="18.81640625" bestFit="1" customWidth="1"/>
    <col min="38" max="38" width="14.90625" bestFit="1" customWidth="1"/>
    <col min="39" max="39" width="17.6328125" bestFit="1" customWidth="1"/>
    <col min="40" max="40" width="10.36328125" bestFit="1" customWidth="1"/>
    <col min="42" max="42" width="30.453125" customWidth="1"/>
    <col min="44" max="44" width="14.08984375" style="61" customWidth="1"/>
    <col min="45" max="45" width="13.81640625" style="60" customWidth="1"/>
    <col min="46" max="46" width="9.1796875" bestFit="1" customWidth="1"/>
    <col min="47" max="47" width="9" bestFit="1" customWidth="1"/>
  </cols>
  <sheetData>
    <row r="1" spans="1:49" ht="43.5" x14ac:dyDescent="0.35">
      <c r="A1" s="24" t="s">
        <v>5</v>
      </c>
      <c r="B1" s="26" t="s">
        <v>49</v>
      </c>
      <c r="C1" s="25" t="s">
        <v>67</v>
      </c>
      <c r="D1" s="25" t="s">
        <v>68</v>
      </c>
      <c r="E1" s="25" t="s">
        <v>69</v>
      </c>
      <c r="F1" s="25" t="s">
        <v>70</v>
      </c>
      <c r="G1" s="25" t="s">
        <v>71</v>
      </c>
      <c r="H1" s="25" t="s">
        <v>72</v>
      </c>
      <c r="I1" s="25" t="s">
        <v>73</v>
      </c>
      <c r="J1" s="25" t="s">
        <v>53</v>
      </c>
      <c r="K1" s="25" t="s">
        <v>54</v>
      </c>
      <c r="L1" s="25" t="s">
        <v>55</v>
      </c>
      <c r="M1" s="25" t="s">
        <v>56</v>
      </c>
      <c r="N1" s="25" t="s">
        <v>57</v>
      </c>
      <c r="O1" s="25" t="s">
        <v>58</v>
      </c>
      <c r="P1" s="25" t="s">
        <v>59</v>
      </c>
      <c r="Q1" s="25" t="s">
        <v>60</v>
      </c>
      <c r="R1" s="25" t="s">
        <v>64</v>
      </c>
      <c r="S1" s="27" t="s">
        <v>65</v>
      </c>
      <c r="Y1" s="24" t="s">
        <v>49</v>
      </c>
      <c r="Z1" s="25" t="s">
        <v>67</v>
      </c>
      <c r="AA1" s="26" t="s">
        <v>74</v>
      </c>
      <c r="AB1" s="25" t="s">
        <v>75</v>
      </c>
      <c r="AC1" s="25" t="s">
        <v>76</v>
      </c>
      <c r="AD1" s="25" t="s">
        <v>77</v>
      </c>
      <c r="AE1" s="25" t="s">
        <v>78</v>
      </c>
      <c r="AF1" s="25" t="s">
        <v>79</v>
      </c>
      <c r="AG1" s="25" t="s">
        <v>80</v>
      </c>
      <c r="AH1" s="25" t="s">
        <v>81</v>
      </c>
      <c r="AI1" s="25" t="s">
        <v>82</v>
      </c>
      <c r="AJ1" s="25" t="s">
        <v>83</v>
      </c>
      <c r="AK1" s="25" t="s">
        <v>84</v>
      </c>
      <c r="AL1" s="25" t="s">
        <v>85</v>
      </c>
      <c r="AM1" s="25" t="s">
        <v>86</v>
      </c>
      <c r="AN1" s="27" t="s">
        <v>40</v>
      </c>
      <c r="AR1" s="64" t="s">
        <v>41</v>
      </c>
      <c r="AS1" s="65" t="s">
        <v>42</v>
      </c>
      <c r="AT1" s="66" t="s">
        <v>43</v>
      </c>
      <c r="AU1" s="66" t="s">
        <v>44</v>
      </c>
    </row>
    <row r="2" spans="1:49" x14ac:dyDescent="0.35">
      <c r="A2" s="94" t="s">
        <v>45</v>
      </c>
      <c r="B2" s="96" t="s">
        <v>52</v>
      </c>
      <c r="C2" s="96"/>
      <c r="D2" s="46">
        <v>4</v>
      </c>
      <c r="E2" s="46" t="s">
        <v>61</v>
      </c>
      <c r="F2" s="46" t="s">
        <v>63</v>
      </c>
      <c r="G2" s="49">
        <v>0</v>
      </c>
      <c r="H2" s="50">
        <v>0</v>
      </c>
      <c r="I2" s="50">
        <f>H2+G2</f>
        <v>0</v>
      </c>
      <c r="J2" s="51">
        <v>0</v>
      </c>
      <c r="K2" s="52" t="s">
        <v>38</v>
      </c>
      <c r="L2" s="52" t="s">
        <v>38</v>
      </c>
      <c r="M2" s="52" t="s">
        <v>38</v>
      </c>
      <c r="N2" s="52" t="s">
        <v>38</v>
      </c>
      <c r="O2" s="52" t="s">
        <v>38</v>
      </c>
      <c r="P2" s="52" t="s">
        <v>38</v>
      </c>
      <c r="Q2" s="52" t="s">
        <v>38</v>
      </c>
      <c r="R2" s="52" t="s">
        <v>38</v>
      </c>
      <c r="S2" s="53" t="s">
        <v>38</v>
      </c>
      <c r="Y2" s="94" t="s">
        <v>50</v>
      </c>
      <c r="Z2" s="15" cm="1">
        <f t="array" ref="Z2">INDEX($C:$C,$AA2)</f>
        <v>0</v>
      </c>
      <c r="AA2" s="15">
        <f>ROW()+1</f>
        <v>3</v>
      </c>
      <c r="AB2" s="23" cm="1">
        <f t="array" ref="AB2">_xlfn.LET(_xlpm.r,$AA2+_xlfn.SEQUENCE(8,1,0,20),AVERAGE(INDEX($K:$K,_xlpm.r)))</f>
        <v>0</v>
      </c>
      <c r="AC2" s="23" cm="1">
        <f t="array" ref="AC2">_xlfn.LET(_xlpm.r,$AA2+_xlfn.SEQUENCE(8,1,0,20),AVERAGE(INDEX($L:$L,_xlpm.r)))</f>
        <v>0</v>
      </c>
      <c r="AD2" s="23" cm="1">
        <f t="array" ref="AD2">_xlfn.LET(_xlpm.r,$AA2+_xlfn.SEQUENCE(8,1,0,20),MAX(INDEX($L:$L,_xlpm.r)))</f>
        <v>0</v>
      </c>
      <c r="AE2" s="15" cm="1">
        <f t="array" ref="AE2">_xlfn.LET(_xlpm.r,$AA2+_xlfn.SEQUENCE(8,1,0,20),SUM(--(INDEX($L:$L,_xlpm.r)&gt;0.005)))</f>
        <v>0</v>
      </c>
      <c r="AF2" s="23" cm="1">
        <f t="array" ref="AF2">_xlfn.LET(_xlpm.r,$AA2+_xlfn.SEQUENCE(8,1,0,20),AVERAGE(INDEX($N:$N,_xlpm.r)))</f>
        <v>6.875</v>
      </c>
      <c r="AG2" s="15" cm="1">
        <f t="array" ref="AG2">_xlfn.LET(_xlpm.r,$AA2+_xlfn.SEQUENCE(8,1,0,20),MAX(INDEX($N:$N,_xlpm.r)))</f>
        <v>20</v>
      </c>
      <c r="AH2" s="15" cm="1">
        <f t="array" ref="AH2">_xlfn.LET(_xlpm.r,$AA2+_xlfn.SEQUENCE(8,1,0,20),_xlpm.b,2+_xlfn.SEQUENCE(8,1,0,20),SUM(--(INDEX($E:$E,_xlpm.r)&lt;&gt;INDEX($E:$E,_xlpm.b))))</f>
        <v>0</v>
      </c>
      <c r="AI2" s="15" cm="1">
        <f t="array" ref="AI2">_xlfn.LET(_xlpm.r,$AA2+_xlfn.SEQUENCE(8,1,0,20),SUM(--(INDEX($Q:$Q,_xlpm.r)="Yes")))</f>
        <v>0</v>
      </c>
      <c r="AJ2" s="23" cm="1">
        <f t="array" ref="AJ2">_xlfn.LET(_xlpm.r,$AA2+_xlfn.SEQUENCE(8,1,0,20),_xlpm.v,INDEX($P:$P,_xlpm.r),IFERROR(AVERAGE(_xlfn._xlws.FILTER(_xlpm.v,ISNUMBER(_xlpm.v))),"N/A"))</f>
        <v>0</v>
      </c>
      <c r="AK2" s="15" cm="1">
        <f t="array" ref="AK2">_xlfn.LET(_xlpm.r,$AA2+_xlfn.SEQUENCE(8,1,0,20),_xlpm.v,INDEX($P:$P,_xlpm.r),IFERROR(MAX(_xlfn._xlws.FILTER(_xlpm.v,ISNUMBER(_xlpm.v))),"N/A"))</f>
        <v>0</v>
      </c>
      <c r="AL2" s="23" cm="1">
        <f t="array" ref="AL2">_xlfn.LET(_xlpm.r,$AA2+_xlfn.SEQUENCE(8,1,0,20),AVERAGE(INDEX($S:$S,_xlpm.r)))</f>
        <v>0</v>
      </c>
      <c r="AM2" s="15" cm="1">
        <f t="array" ref="AM2">_xlfn.LET(_xlpm.r,$AA2+_xlfn.SEQUENCE(8,1,0,20),MAX(INDEX($S:$S,_xlpm.r)))</f>
        <v>0</v>
      </c>
      <c r="AN2" s="62">
        <f>_xlfn.LET(
_xlpm.k,ROW()-ROW($AN$2),
_xlpm.ScenarioRanks,INDEX($AT:$AT,2+9*_xlpm.k):INDEX($AT:$AT,9+9*_xlpm.k),
CORREL(_xlpm.ScenarioRanks,$AU$2:$AU$9)
)</f>
        <v>0.99999999999999978</v>
      </c>
      <c r="AR2" s="61" cm="1">
        <f t="array" ref="AR2:AR9">INDEX($J:$J,3+20*_xlfn.SEQUENCE(8,1,0,1))</f>
        <v>0</v>
      </c>
      <c r="AS2" s="60" cm="1">
        <f t="array" ref="AS2:AS9">INDEX($J:$J,2+20*_xlfn.SEQUENCE(8,1,0,1))</f>
        <v>0</v>
      </c>
      <c r="AT2">
        <f>_xlfn.RANK.AVG(AR2,$AR$2:$AR$9,0)</f>
        <v>8</v>
      </c>
      <c r="AU2">
        <f>_xlfn.RANK.AVG(AS2,$AS$2:$AS$9,0)</f>
        <v>8</v>
      </c>
      <c r="AW2" s="59"/>
    </row>
    <row r="3" spans="1:49" x14ac:dyDescent="0.35">
      <c r="A3" s="94"/>
      <c r="B3" s="110" t="s">
        <v>50</v>
      </c>
      <c r="C3" s="47">
        <v>0</v>
      </c>
      <c r="D3" s="47">
        <v>4</v>
      </c>
      <c r="E3" s="47" t="s">
        <v>61</v>
      </c>
      <c r="F3" s="47" t="s">
        <v>63</v>
      </c>
      <c r="G3" s="54">
        <v>0</v>
      </c>
      <c r="H3" s="55">
        <v>0</v>
      </c>
      <c r="I3" s="55">
        <f t="shared" ref="I3:I66" si="0">H3+G3</f>
        <v>0</v>
      </c>
      <c r="J3" s="56">
        <v>0</v>
      </c>
      <c r="K3" s="57">
        <f>(J3-$J$2)*100</f>
        <v>0</v>
      </c>
      <c r="L3" s="57">
        <f>ABS(K3)</f>
        <v>0</v>
      </c>
      <c r="M3" s="54">
        <f>(D3-$D$2)</f>
        <v>0</v>
      </c>
      <c r="N3" s="57">
        <f>ABS(M3)</f>
        <v>0</v>
      </c>
      <c r="O3" s="57" t="s">
        <v>63</v>
      </c>
      <c r="P3" s="57" t="s">
        <v>63</v>
      </c>
      <c r="Q3" s="47" t="s">
        <v>63</v>
      </c>
      <c r="R3" s="54">
        <f>I3-$I$2</f>
        <v>0</v>
      </c>
      <c r="S3" s="58">
        <f>ABS(R3)</f>
        <v>0</v>
      </c>
      <c r="Y3" s="94"/>
      <c r="Z3" s="15" cm="1">
        <f t="array" ref="Z3">INDEX($C:$C,$AA3)</f>
        <v>0.05</v>
      </c>
      <c r="AA3" s="15">
        <f t="shared" ref="AA3:AA20" si="1">ROW()+1</f>
        <v>4</v>
      </c>
      <c r="AB3" s="23" cm="1">
        <f t="array" ref="AB3">_xlfn.LET(_xlpm.r,$AA3+_xlfn.SEQUENCE(8,1,0,20),AVERAGE(INDEX($K:$K,_xlpm.r)))</f>
        <v>0</v>
      </c>
      <c r="AC3" s="23" cm="1">
        <f t="array" ref="AC3">_xlfn.LET(_xlpm.r,$AA3+_xlfn.SEQUENCE(8,1,0,20),AVERAGE(INDEX($L:$L,_xlpm.r)))</f>
        <v>0</v>
      </c>
      <c r="AD3" s="23" cm="1">
        <f t="array" ref="AD3">_xlfn.LET(_xlpm.r,$AA3+_xlfn.SEQUENCE(8,1,0,20),MAX(INDEX($L:$L,_xlpm.r)))</f>
        <v>0</v>
      </c>
      <c r="AE3" s="15" cm="1">
        <f t="array" ref="AE3">_xlfn.LET(_xlpm.r,$AA3+_xlfn.SEQUENCE(8,1,0,20),SUM(--(INDEX($L:$L,_xlpm.r)&gt;0.005)))</f>
        <v>0</v>
      </c>
      <c r="AF3" s="23" cm="1">
        <f t="array" ref="AF3">_xlfn.LET(_xlpm.r,$AA3+_xlfn.SEQUENCE(8,1,0,20),AVERAGE(INDEX($N:$N,_xlpm.r)))</f>
        <v>2.375</v>
      </c>
      <c r="AG3" s="15" cm="1">
        <f t="array" ref="AG3">_xlfn.LET(_xlpm.r,$AA3+_xlfn.SEQUENCE(8,1,0,20),MAX(INDEX($N:$N,_xlpm.r)))</f>
        <v>11</v>
      </c>
      <c r="AH3" s="15" cm="1">
        <f t="array" ref="AH3">_xlfn.LET(_xlpm.r,$AA3+_xlfn.SEQUENCE(8,1,0,20),_xlpm.b,2+_xlfn.SEQUENCE(8,1,0,20),SUM(--(INDEX($E:$E,_xlpm.r)&lt;&gt;INDEX($E:$E,_xlpm.b))))</f>
        <v>0</v>
      </c>
      <c r="AI3" s="15" cm="1">
        <f t="array" ref="AI3">_xlfn.LET(_xlpm.r,$AA3+_xlfn.SEQUENCE(8,1,0,20),SUM(--(INDEX($Q:$Q,_xlpm.r)="Yes")))</f>
        <v>0</v>
      </c>
      <c r="AJ3" s="23" cm="1">
        <f t="array" ref="AJ3">_xlfn.LET(_xlpm.r,$AA3+_xlfn.SEQUENCE(8,1,0,20),_xlpm.v,INDEX($P:$P,_xlpm.r),IFERROR(AVERAGE(_xlfn._xlws.FILTER(_xlpm.v,ISNUMBER(_xlpm.v))),"N/A"))</f>
        <v>0</v>
      </c>
      <c r="AK3" s="15" cm="1">
        <f t="array" ref="AK3">_xlfn.LET(_xlpm.r,$AA3+_xlfn.SEQUENCE(8,1,0,20),_xlpm.v,INDEX($P:$P,_xlpm.r),IFERROR(MAX(_xlfn._xlws.FILTER(_xlpm.v,ISNUMBER(_xlpm.v))),"N/A"))</f>
        <v>0</v>
      </c>
      <c r="AL3" s="23" cm="1">
        <f t="array" ref="AL3">_xlfn.LET(_xlpm.r,$AA3+_xlfn.SEQUENCE(8,1,0,20),AVERAGE(INDEX($S:$S,_xlpm.r)))</f>
        <v>0</v>
      </c>
      <c r="AM3" s="15" cm="1">
        <f t="array" ref="AM3">_xlfn.LET(_xlpm.r,$AA3+_xlfn.SEQUENCE(8,1,0,20),MAX(INDEX($S:$S,_xlpm.r)))</f>
        <v>0</v>
      </c>
      <c r="AN3" s="62">
        <f>_xlfn.LET(
_xlpm.k,ROW()-ROW($AN$2),
_xlpm.ScenarioRanks,INDEX($AT:$AT,2+9*_xlpm.k):INDEX($AT:$AT,9+9*_xlpm.k),
CORREL(_xlpm.ScenarioRanks,$AU$2:$AU$9)
)</f>
        <v>0.99999999999999978</v>
      </c>
      <c r="AR3" s="61">
        <v>1</v>
      </c>
      <c r="AS3" s="60">
        <v>1</v>
      </c>
      <c r="AT3">
        <f t="shared" ref="AT3:AT9" si="2">_xlfn.RANK.AVG(AR3,$AR$2:$AR$9,0)</f>
        <v>2</v>
      </c>
      <c r="AU3">
        <f t="shared" ref="AU3:AU9" si="3">_xlfn.RANK.AVG(AS3,$AS$2:$AS$9,0)</f>
        <v>2</v>
      </c>
    </row>
    <row r="4" spans="1:49" x14ac:dyDescent="0.35">
      <c r="A4" s="94"/>
      <c r="B4" s="111"/>
      <c r="C4" s="39">
        <v>0.05</v>
      </c>
      <c r="D4" s="47">
        <v>4</v>
      </c>
      <c r="E4" s="47" t="s">
        <v>61</v>
      </c>
      <c r="F4" s="47" t="s">
        <v>63</v>
      </c>
      <c r="G4" s="54">
        <v>0</v>
      </c>
      <c r="H4" s="55">
        <v>0</v>
      </c>
      <c r="I4" s="55">
        <f t="shared" si="0"/>
        <v>0</v>
      </c>
      <c r="J4" s="56">
        <v>0</v>
      </c>
      <c r="K4" s="57">
        <f t="shared" ref="K4:K21" si="4">(J4-$J$2)*100</f>
        <v>0</v>
      </c>
      <c r="L4" s="57">
        <f t="shared" ref="L4:L67" si="5">ABS(K4)</f>
        <v>0</v>
      </c>
      <c r="M4" s="54">
        <f t="shared" ref="M4:M21" si="6">(D4-$D$2)</f>
        <v>0</v>
      </c>
      <c r="N4" s="57">
        <f t="shared" ref="N4:N67" si="7">ABS(M4)</f>
        <v>0</v>
      </c>
      <c r="O4" s="57" t="s">
        <v>63</v>
      </c>
      <c r="P4" s="57" t="s">
        <v>63</v>
      </c>
      <c r="Q4" s="47" t="s">
        <v>63</v>
      </c>
      <c r="R4" s="54">
        <f t="shared" ref="R4:R21" si="8">I4-$I$2</f>
        <v>0</v>
      </c>
      <c r="S4" s="58">
        <f t="shared" ref="S4:S67" si="9">ABS(R4)</f>
        <v>0</v>
      </c>
      <c r="Y4" s="94"/>
      <c r="Z4" s="15" cm="1">
        <f t="array" ref="Z4">INDEX($C:$C,$AA4)</f>
        <v>0.25</v>
      </c>
      <c r="AA4" s="15">
        <f t="shared" si="1"/>
        <v>5</v>
      </c>
      <c r="AB4" s="23" cm="1">
        <f t="array" ref="AB4">_xlfn.LET(_xlpm.r,$AA4+_xlfn.SEQUENCE(8,1,0,20),AVERAGE(INDEX($K:$K,_xlpm.r)))</f>
        <v>0</v>
      </c>
      <c r="AC4" s="23" cm="1">
        <f t="array" ref="AC4">_xlfn.LET(_xlpm.r,$AA4+_xlfn.SEQUENCE(8,1,0,20),AVERAGE(INDEX($L:$L,_xlpm.r)))</f>
        <v>0</v>
      </c>
      <c r="AD4" s="23" cm="1">
        <f t="array" ref="AD4">_xlfn.LET(_xlpm.r,$AA4+_xlfn.SEQUENCE(8,1,0,20),MAX(INDEX($L:$L,_xlpm.r)))</f>
        <v>0</v>
      </c>
      <c r="AE4" s="15" cm="1">
        <f t="array" ref="AE4">_xlfn.LET(_xlpm.r,$AA4+_xlfn.SEQUENCE(8,1,0,20),SUM(--(INDEX($L:$L,_xlpm.r)&gt;0.005)))</f>
        <v>0</v>
      </c>
      <c r="AF4" s="23" cm="1">
        <f t="array" ref="AF4">_xlfn.LET(_xlpm.r,$AA4+_xlfn.SEQUENCE(8,1,0,20),AVERAGE(INDEX($N:$N,_xlpm.r)))</f>
        <v>0.75</v>
      </c>
      <c r="AG4" s="15" cm="1">
        <f t="array" ref="AG4">_xlfn.LET(_xlpm.r,$AA4+_xlfn.SEQUENCE(8,1,0,20),MAX(INDEX($N:$N,_xlpm.r)))</f>
        <v>5</v>
      </c>
      <c r="AH4" s="15" cm="1">
        <f t="array" ref="AH4">_xlfn.LET(_xlpm.r,$AA4+_xlfn.SEQUENCE(8,1,0,20),_xlpm.b,2+_xlfn.SEQUENCE(8,1,0,20),SUM(--(INDEX($E:$E,_xlpm.r)&lt;&gt;INDEX($E:$E,_xlpm.b))))</f>
        <v>0</v>
      </c>
      <c r="AI4" s="15" cm="1">
        <f t="array" ref="AI4">_xlfn.LET(_xlpm.r,$AA4+_xlfn.SEQUENCE(8,1,0,20),SUM(--(INDEX($Q:$Q,_xlpm.r)="Yes")))</f>
        <v>0</v>
      </c>
      <c r="AJ4" s="23" cm="1">
        <f t="array" ref="AJ4">_xlfn.LET(_xlpm.r,$AA4+_xlfn.SEQUENCE(8,1,0,20),_xlpm.v,INDEX($P:$P,_xlpm.r),IFERROR(AVERAGE(_xlfn._xlws.FILTER(_xlpm.v,ISNUMBER(_xlpm.v))),"N/A"))</f>
        <v>0</v>
      </c>
      <c r="AK4" s="15" cm="1">
        <f t="array" ref="AK4">_xlfn.LET(_xlpm.r,$AA4+_xlfn.SEQUENCE(8,1,0,20),_xlpm.v,INDEX($P:$P,_xlpm.r),IFERROR(MAX(_xlfn._xlws.FILTER(_xlpm.v,ISNUMBER(_xlpm.v))),"N/A"))</f>
        <v>0</v>
      </c>
      <c r="AL4" s="23" cm="1">
        <f t="array" ref="AL4">_xlfn.LET(_xlpm.r,$AA4+_xlfn.SEQUENCE(8,1,0,20),AVERAGE(INDEX($S:$S,_xlpm.r)))</f>
        <v>0</v>
      </c>
      <c r="AM4" s="15" cm="1">
        <f t="array" ref="AM4">_xlfn.LET(_xlpm.r,$AA4+_xlfn.SEQUENCE(8,1,0,20),MAX(INDEX($S:$S,_xlpm.r)))</f>
        <v>0</v>
      </c>
      <c r="AN4" s="62">
        <f>_xlfn.LET(
_xlpm.k,ROW()-ROW($AN$2),
_xlpm.ScenarioRanks,INDEX($AT:$AT,2+9*_xlpm.k):INDEX($AT:$AT,9+9*_xlpm.k),
CORREL(_xlpm.ScenarioRanks,$AU$2:$AU$9)
)</f>
        <v>0.99999999999999978</v>
      </c>
      <c r="AR4" s="61">
        <v>0.6008</v>
      </c>
      <c r="AS4" s="60">
        <v>0.6008</v>
      </c>
      <c r="AT4">
        <f t="shared" si="2"/>
        <v>6</v>
      </c>
      <c r="AU4">
        <f t="shared" si="3"/>
        <v>6</v>
      </c>
    </row>
    <row r="5" spans="1:49" x14ac:dyDescent="0.35">
      <c r="A5" s="94"/>
      <c r="B5" s="111"/>
      <c r="C5" s="39">
        <v>0.25</v>
      </c>
      <c r="D5" s="47">
        <v>4</v>
      </c>
      <c r="E5" s="47" t="s">
        <v>61</v>
      </c>
      <c r="F5" s="47" t="s">
        <v>63</v>
      </c>
      <c r="G5" s="54">
        <v>0</v>
      </c>
      <c r="H5" s="55">
        <v>0</v>
      </c>
      <c r="I5" s="55">
        <f t="shared" si="0"/>
        <v>0</v>
      </c>
      <c r="J5" s="56">
        <v>0</v>
      </c>
      <c r="K5" s="57">
        <f t="shared" si="4"/>
        <v>0</v>
      </c>
      <c r="L5" s="57">
        <f t="shared" si="5"/>
        <v>0</v>
      </c>
      <c r="M5" s="54">
        <f t="shared" si="6"/>
        <v>0</v>
      </c>
      <c r="N5" s="57">
        <f t="shared" si="7"/>
        <v>0</v>
      </c>
      <c r="O5" s="57" t="s">
        <v>63</v>
      </c>
      <c r="P5" s="57" t="s">
        <v>63</v>
      </c>
      <c r="Q5" s="47" t="s">
        <v>63</v>
      </c>
      <c r="R5" s="54">
        <f t="shared" si="8"/>
        <v>0</v>
      </c>
      <c r="S5" s="58">
        <f t="shared" si="9"/>
        <v>0</v>
      </c>
      <c r="Y5" s="94"/>
      <c r="Z5" s="15" cm="1">
        <f t="array" ref="Z5">INDEX($C:$C,$AA5)</f>
        <v>0.35</v>
      </c>
      <c r="AA5" s="15">
        <f t="shared" si="1"/>
        <v>6</v>
      </c>
      <c r="AB5" s="23" cm="1">
        <f t="array" ref="AB5">_xlfn.LET(_xlpm.r,$AA5+_xlfn.SEQUENCE(8,1,0,20),AVERAGE(INDEX($K:$K,_xlpm.r)))</f>
        <v>0</v>
      </c>
      <c r="AC5" s="23" cm="1">
        <f t="array" ref="AC5">_xlfn.LET(_xlpm.r,$AA5+_xlfn.SEQUENCE(8,1,0,20),AVERAGE(INDEX($L:$L,_xlpm.r)))</f>
        <v>0</v>
      </c>
      <c r="AD5" s="23" cm="1">
        <f t="array" ref="AD5">_xlfn.LET(_xlpm.r,$AA5+_xlfn.SEQUENCE(8,1,0,20),MAX(INDEX($L:$L,_xlpm.r)))</f>
        <v>0</v>
      </c>
      <c r="AE5" s="15" cm="1">
        <f t="array" ref="AE5">_xlfn.LET(_xlpm.r,$AA5+_xlfn.SEQUENCE(8,1,0,20),SUM(--(INDEX($L:$L,_xlpm.r)&gt;0.005)))</f>
        <v>0</v>
      </c>
      <c r="AF5" s="23" cm="1">
        <f t="array" ref="AF5">_xlfn.LET(_xlpm.r,$AA5+_xlfn.SEQUENCE(8,1,0,20),AVERAGE(INDEX($N:$N,_xlpm.r)))</f>
        <v>1.375</v>
      </c>
      <c r="AG5" s="15" cm="1">
        <f t="array" ref="AG5">_xlfn.LET(_xlpm.r,$AA5+_xlfn.SEQUENCE(8,1,0,20),MAX(INDEX($N:$N,_xlpm.r)))</f>
        <v>9</v>
      </c>
      <c r="AH5" s="15" cm="1">
        <f t="array" ref="AH5">_xlfn.LET(_xlpm.r,$AA5+_xlfn.SEQUENCE(8,1,0,20),_xlpm.b,2+_xlfn.SEQUENCE(8,1,0,20),SUM(--(INDEX($E:$E,_xlpm.r)&lt;&gt;INDEX($E:$E,_xlpm.b))))</f>
        <v>0</v>
      </c>
      <c r="AI5" s="15" cm="1">
        <f t="array" ref="AI5">_xlfn.LET(_xlpm.r,$AA5+_xlfn.SEQUENCE(8,1,0,20),SUM(--(INDEX($Q:$Q,_xlpm.r)="Yes")))</f>
        <v>0</v>
      </c>
      <c r="AJ5" s="23" cm="1">
        <f t="array" ref="AJ5">_xlfn.LET(_xlpm.r,$AA5+_xlfn.SEQUENCE(8,1,0,20),_xlpm.v,INDEX($P:$P,_xlpm.r),IFERROR(AVERAGE(_xlfn._xlws.FILTER(_xlpm.v,ISNUMBER(_xlpm.v))),"N/A"))</f>
        <v>0</v>
      </c>
      <c r="AK5" s="15" cm="1">
        <f t="array" ref="AK5">_xlfn.LET(_xlpm.r,$AA5+_xlfn.SEQUENCE(8,1,0,20),_xlpm.v,INDEX($P:$P,_xlpm.r),IFERROR(MAX(_xlfn._xlws.FILTER(_xlpm.v,ISNUMBER(_xlpm.v))),"N/A"))</f>
        <v>0</v>
      </c>
      <c r="AL5" s="23" cm="1">
        <f t="array" ref="AL5">_xlfn.LET(_xlpm.r,$AA5+_xlfn.SEQUENCE(8,1,0,20),AVERAGE(INDEX($S:$S,_xlpm.r)))</f>
        <v>0</v>
      </c>
      <c r="AM5" s="15" cm="1">
        <f t="array" ref="AM5">_xlfn.LET(_xlpm.r,$AA5+_xlfn.SEQUENCE(8,1,0,20),MAX(INDEX($S:$S,_xlpm.r)))</f>
        <v>0</v>
      </c>
      <c r="AN5" s="62">
        <f>_xlfn.LET(
_xlpm.k,ROW()-ROW($AN$2),
_xlpm.ScenarioRanks,INDEX($AT:$AT,2+9*_xlpm.k):INDEX($AT:$AT,9+9*_xlpm.k),
CORREL(_xlpm.ScenarioRanks,$AU$2:$AU$9)
)</f>
        <v>0.99999999999999978</v>
      </c>
      <c r="AR5" s="61">
        <v>0.7681</v>
      </c>
      <c r="AS5" s="60">
        <v>0.7681</v>
      </c>
      <c r="AT5">
        <f t="shared" si="2"/>
        <v>5</v>
      </c>
      <c r="AU5">
        <f t="shared" si="3"/>
        <v>5</v>
      </c>
    </row>
    <row r="6" spans="1:49" x14ac:dyDescent="0.35">
      <c r="A6" s="94"/>
      <c r="B6" s="111"/>
      <c r="C6" s="39">
        <v>0.35</v>
      </c>
      <c r="D6" s="47">
        <v>4</v>
      </c>
      <c r="E6" s="47" t="s">
        <v>61</v>
      </c>
      <c r="F6" s="47" t="s">
        <v>63</v>
      </c>
      <c r="G6" s="54">
        <v>0</v>
      </c>
      <c r="H6" s="55">
        <v>0</v>
      </c>
      <c r="I6" s="55">
        <f t="shared" si="0"/>
        <v>0</v>
      </c>
      <c r="J6" s="56">
        <v>0</v>
      </c>
      <c r="K6" s="57">
        <f t="shared" si="4"/>
        <v>0</v>
      </c>
      <c r="L6" s="57">
        <f t="shared" si="5"/>
        <v>0</v>
      </c>
      <c r="M6" s="54">
        <f t="shared" si="6"/>
        <v>0</v>
      </c>
      <c r="N6" s="57">
        <f t="shared" si="7"/>
        <v>0</v>
      </c>
      <c r="O6" s="57" t="s">
        <v>63</v>
      </c>
      <c r="P6" s="57" t="s">
        <v>63</v>
      </c>
      <c r="Q6" s="47" t="s">
        <v>63</v>
      </c>
      <c r="R6" s="54">
        <f t="shared" si="8"/>
        <v>0</v>
      </c>
      <c r="S6" s="58">
        <f t="shared" si="9"/>
        <v>0</v>
      </c>
      <c r="Y6" s="94"/>
      <c r="Z6" s="15" cm="1">
        <f t="array" ref="Z6">INDEX($C:$C,$AA6)</f>
        <v>0.45</v>
      </c>
      <c r="AA6" s="15">
        <f t="shared" si="1"/>
        <v>7</v>
      </c>
      <c r="AB6" s="23" cm="1">
        <f t="array" ref="AB6">_xlfn.LET(_xlpm.r,$AA6+_xlfn.SEQUENCE(8,1,0,20),AVERAGE(INDEX($K:$K,_xlpm.r)))</f>
        <v>0</v>
      </c>
      <c r="AC6" s="23" cm="1">
        <f t="array" ref="AC6">_xlfn.LET(_xlpm.r,$AA6+_xlfn.SEQUENCE(8,1,0,20),AVERAGE(INDEX($L:$L,_xlpm.r)))</f>
        <v>0</v>
      </c>
      <c r="AD6" s="23" cm="1">
        <f t="array" ref="AD6">_xlfn.LET(_xlpm.r,$AA6+_xlfn.SEQUENCE(8,1,0,20),MAX(INDEX($L:$L,_xlpm.r)))</f>
        <v>0</v>
      </c>
      <c r="AE6" s="15" cm="1">
        <f t="array" ref="AE6">_xlfn.LET(_xlpm.r,$AA6+_xlfn.SEQUENCE(8,1,0,20),SUM(--(INDEX($L:$L,_xlpm.r)&gt;0.005)))</f>
        <v>0</v>
      </c>
      <c r="AF6" s="23" cm="1">
        <f t="array" ref="AF6">_xlfn.LET(_xlpm.r,$AA6+_xlfn.SEQUENCE(8,1,0,20),AVERAGE(INDEX($N:$N,_xlpm.r)))</f>
        <v>2.25</v>
      </c>
      <c r="AG6" s="15" cm="1">
        <f t="array" ref="AG6">_xlfn.LET(_xlpm.r,$AA6+_xlfn.SEQUENCE(8,1,0,20),MAX(INDEX($N:$N,_xlpm.r)))</f>
        <v>9</v>
      </c>
      <c r="AH6" s="15" cm="1">
        <f t="array" ref="AH6">_xlfn.LET(_xlpm.r,$AA6+_xlfn.SEQUENCE(8,1,0,20),_xlpm.b,2+_xlfn.SEQUENCE(8,1,0,20),SUM(--(INDEX($E:$E,_xlpm.r)&lt;&gt;INDEX($E:$E,_xlpm.b))))</f>
        <v>0</v>
      </c>
      <c r="AI6" s="15" cm="1">
        <f t="array" ref="AI6">_xlfn.LET(_xlpm.r,$AA6+_xlfn.SEQUENCE(8,1,0,20),SUM(--(INDEX($Q:$Q,_xlpm.r)="Yes")))</f>
        <v>0</v>
      </c>
      <c r="AJ6" s="23" cm="1">
        <f t="array" ref="AJ6">_xlfn.LET(_xlpm.r,$AA6+_xlfn.SEQUENCE(8,1,0,20),_xlpm.v,INDEX($P:$P,_xlpm.r),IFERROR(AVERAGE(_xlfn._xlws.FILTER(_xlpm.v,ISNUMBER(_xlpm.v))),"N/A"))</f>
        <v>0</v>
      </c>
      <c r="AK6" s="15" cm="1">
        <f t="array" ref="AK6">_xlfn.LET(_xlpm.r,$AA6+_xlfn.SEQUENCE(8,1,0,20),_xlpm.v,INDEX($P:$P,_xlpm.r),IFERROR(MAX(_xlfn._xlws.FILTER(_xlpm.v,ISNUMBER(_xlpm.v))),"N/A"))</f>
        <v>0</v>
      </c>
      <c r="AL6" s="23" cm="1">
        <f t="array" ref="AL6">_xlfn.LET(_xlpm.r,$AA6+_xlfn.SEQUENCE(8,1,0,20),AVERAGE(INDEX($S:$S,_xlpm.r)))</f>
        <v>0</v>
      </c>
      <c r="AM6" s="15" cm="1">
        <f t="array" ref="AM6">_xlfn.LET(_xlpm.r,$AA6+_xlfn.SEQUENCE(8,1,0,20),MAX(INDEX($S:$S,_xlpm.r)))</f>
        <v>0</v>
      </c>
      <c r="AN6" s="62">
        <f>_xlfn.LET(
_xlpm.k,ROW()-ROW($AN$2),
_xlpm.ScenarioRanks,INDEX($AT:$AT,2+9*_xlpm.k):INDEX($AT:$AT,9+9*_xlpm.k),
CORREL(_xlpm.ScenarioRanks,$AU$2:$AU$9)
)</f>
        <v>0.99999999999999978</v>
      </c>
      <c r="AR6" s="61">
        <v>0.51200000000000001</v>
      </c>
      <c r="AS6" s="60">
        <v>0.51200000000000001</v>
      </c>
      <c r="AT6">
        <f t="shared" si="2"/>
        <v>7</v>
      </c>
      <c r="AU6">
        <f t="shared" si="3"/>
        <v>7</v>
      </c>
    </row>
    <row r="7" spans="1:49" x14ac:dyDescent="0.35">
      <c r="A7" s="94"/>
      <c r="B7" s="111"/>
      <c r="C7" s="44">
        <v>0.45</v>
      </c>
      <c r="D7" s="47">
        <v>4</v>
      </c>
      <c r="E7" s="47" t="s">
        <v>61</v>
      </c>
      <c r="F7" s="47" t="s">
        <v>63</v>
      </c>
      <c r="G7" s="54">
        <v>0</v>
      </c>
      <c r="H7" s="55">
        <v>0</v>
      </c>
      <c r="I7" s="55">
        <f t="shared" si="0"/>
        <v>0</v>
      </c>
      <c r="J7" s="56">
        <v>0</v>
      </c>
      <c r="K7" s="57">
        <f t="shared" si="4"/>
        <v>0</v>
      </c>
      <c r="L7" s="57">
        <f t="shared" si="5"/>
        <v>0</v>
      </c>
      <c r="M7" s="54">
        <f t="shared" si="6"/>
        <v>0</v>
      </c>
      <c r="N7" s="57">
        <f t="shared" si="7"/>
        <v>0</v>
      </c>
      <c r="O7" s="57" t="s">
        <v>63</v>
      </c>
      <c r="P7" s="57" t="s">
        <v>63</v>
      </c>
      <c r="Q7" s="47" t="s">
        <v>63</v>
      </c>
      <c r="R7" s="54">
        <f t="shared" si="8"/>
        <v>0</v>
      </c>
      <c r="S7" s="58">
        <f t="shared" si="9"/>
        <v>0</v>
      </c>
      <c r="Y7" s="94"/>
      <c r="Z7" s="15" cm="1">
        <f t="array" ref="Z7">INDEX($C:$C,$AA7)</f>
        <v>0.55000000000000004</v>
      </c>
      <c r="AA7" s="15">
        <f t="shared" si="1"/>
        <v>8</v>
      </c>
      <c r="AB7" s="23" cm="1">
        <f t="array" ref="AB7">_xlfn.LET(_xlpm.r,$AA7+_xlfn.SEQUENCE(8,1,0,20),AVERAGE(INDEX($K:$K,_xlpm.r)))</f>
        <v>0</v>
      </c>
      <c r="AC7" s="23" cm="1">
        <f t="array" ref="AC7">_xlfn.LET(_xlpm.r,$AA7+_xlfn.SEQUENCE(8,1,0,20),AVERAGE(INDEX($L:$L,_xlpm.r)))</f>
        <v>0</v>
      </c>
      <c r="AD7" s="23" cm="1">
        <f t="array" ref="AD7">_xlfn.LET(_xlpm.r,$AA7+_xlfn.SEQUENCE(8,1,0,20),MAX(INDEX($L:$L,_xlpm.r)))</f>
        <v>0</v>
      </c>
      <c r="AE7" s="15" cm="1">
        <f t="array" ref="AE7">_xlfn.LET(_xlpm.r,$AA7+_xlfn.SEQUENCE(8,1,0,20),SUM(--(INDEX($L:$L,_xlpm.r)&gt;0.005)))</f>
        <v>0</v>
      </c>
      <c r="AF7" s="23" cm="1">
        <f t="array" ref="AF7">_xlfn.LET(_xlpm.r,$AA7+_xlfn.SEQUENCE(8,1,0,20),AVERAGE(INDEX($N:$N,_xlpm.r)))</f>
        <v>2.5</v>
      </c>
      <c r="AG7" s="15" cm="1">
        <f t="array" ref="AG7">_xlfn.LET(_xlpm.r,$AA7+_xlfn.SEQUENCE(8,1,0,20),MAX(INDEX($N:$N,_xlpm.r)))</f>
        <v>9</v>
      </c>
      <c r="AH7" s="15" cm="1">
        <f t="array" ref="AH7">_xlfn.LET(_xlpm.r,$AA7+_xlfn.SEQUENCE(8,1,0,20),_xlpm.b,2+_xlfn.SEQUENCE(8,1,0,20),SUM(--(INDEX($E:$E,_xlpm.r)&lt;&gt;INDEX($E:$E,_xlpm.b))))</f>
        <v>0</v>
      </c>
      <c r="AI7" s="15" cm="1">
        <f t="array" ref="AI7">_xlfn.LET(_xlpm.r,$AA7+_xlfn.SEQUENCE(8,1,0,20),SUM(--(INDEX($Q:$Q,_xlpm.r)="Yes")))</f>
        <v>0</v>
      </c>
      <c r="AJ7" s="23" cm="1">
        <f t="array" ref="AJ7">_xlfn.LET(_xlpm.r,$AA7+_xlfn.SEQUENCE(8,1,0,20),_xlpm.v,INDEX($P:$P,_xlpm.r),IFERROR(AVERAGE(_xlfn._xlws.FILTER(_xlpm.v,ISNUMBER(_xlpm.v))),"N/A"))</f>
        <v>0</v>
      </c>
      <c r="AK7" s="15" cm="1">
        <f t="array" ref="AK7">_xlfn.LET(_xlpm.r,$AA7+_xlfn.SEQUENCE(8,1,0,20),_xlpm.v,INDEX($P:$P,_xlpm.r),IFERROR(MAX(_xlfn._xlws.FILTER(_xlpm.v,ISNUMBER(_xlpm.v))),"N/A"))</f>
        <v>0</v>
      </c>
      <c r="AL7" s="23" cm="1">
        <f t="array" ref="AL7">_xlfn.LET(_xlpm.r,$AA7+_xlfn.SEQUENCE(8,1,0,20),AVERAGE(INDEX($S:$S,_xlpm.r)))</f>
        <v>0</v>
      </c>
      <c r="AM7" s="15" cm="1">
        <f t="array" ref="AM7">_xlfn.LET(_xlpm.r,$AA7+_xlfn.SEQUENCE(8,1,0,20),MAX(INDEX($S:$S,_xlpm.r)))</f>
        <v>0</v>
      </c>
      <c r="AN7" s="62">
        <f>_xlfn.LET(
_xlpm.k,ROW()-ROW($AN$2),
_xlpm.ScenarioRanks,INDEX($AT:$AT,2+9*_xlpm.k):INDEX($AT:$AT,9+9*_xlpm.k),
CORREL(_xlpm.ScenarioRanks,$AU$2:$AU$9)
)</f>
        <v>0.99999999999999978</v>
      </c>
      <c r="AR7" s="61">
        <v>0.98640000000000005</v>
      </c>
      <c r="AS7" s="60">
        <v>0.98640000000000005</v>
      </c>
      <c r="AT7">
        <f t="shared" si="2"/>
        <v>4</v>
      </c>
      <c r="AU7">
        <f t="shared" si="3"/>
        <v>4</v>
      </c>
    </row>
    <row r="8" spans="1:49" x14ac:dyDescent="0.35">
      <c r="A8" s="94"/>
      <c r="B8" s="112"/>
      <c r="C8" s="44">
        <v>0.55000000000000004</v>
      </c>
      <c r="D8" s="47">
        <v>4</v>
      </c>
      <c r="E8" s="47" t="s">
        <v>61</v>
      </c>
      <c r="F8" s="47" t="s">
        <v>63</v>
      </c>
      <c r="G8" s="54">
        <v>0</v>
      </c>
      <c r="H8" s="55">
        <v>0</v>
      </c>
      <c r="I8" s="55">
        <f t="shared" si="0"/>
        <v>0</v>
      </c>
      <c r="J8" s="56">
        <v>0</v>
      </c>
      <c r="K8" s="57">
        <f t="shared" si="4"/>
        <v>0</v>
      </c>
      <c r="L8" s="57">
        <f t="shared" si="5"/>
        <v>0</v>
      </c>
      <c r="M8" s="54">
        <f t="shared" si="6"/>
        <v>0</v>
      </c>
      <c r="N8" s="57">
        <f t="shared" si="7"/>
        <v>0</v>
      </c>
      <c r="O8" s="57" t="s">
        <v>63</v>
      </c>
      <c r="P8" s="57" t="s">
        <v>63</v>
      </c>
      <c r="Q8" s="47" t="s">
        <v>63</v>
      </c>
      <c r="R8" s="54">
        <f t="shared" si="8"/>
        <v>0</v>
      </c>
      <c r="S8" s="58">
        <f t="shared" si="9"/>
        <v>0</v>
      </c>
      <c r="Y8" s="114" t="s">
        <v>66</v>
      </c>
      <c r="Z8" s="15" cm="1">
        <f t="array" ref="Z8">INDEX($C:$C,$AA8)</f>
        <v>0</v>
      </c>
      <c r="AA8" s="15">
        <f t="shared" si="1"/>
        <v>9</v>
      </c>
      <c r="AB8" s="23" cm="1">
        <f t="array" ref="AB8">_xlfn.LET(_xlpm.r,$AA8+_xlfn.SEQUENCE(8,1,0,20),AVERAGE(INDEX($K:$K,_xlpm.r)))</f>
        <v>-12.462500000000002</v>
      </c>
      <c r="AC8" s="23" cm="1">
        <f t="array" ref="AC8">_xlfn.LET(_xlpm.r,$AA8+_xlfn.SEQUENCE(8,1,0,20),AVERAGE(INDEX($L:$L,_xlpm.r)))</f>
        <v>12.462500000000002</v>
      </c>
      <c r="AD8" s="23" cm="1">
        <f t="array" ref="AD8">_xlfn.LET(_xlpm.r,$AA8+_xlfn.SEQUENCE(8,1,0,20),MAX(INDEX($L:$L,_xlpm.r)))</f>
        <v>41.949999999999996</v>
      </c>
      <c r="AE8" s="15" cm="1">
        <f t="array" ref="AE8">_xlfn.LET(_xlpm.r,$AA8+_xlfn.SEQUENCE(8,1,0,20),SUM(--(INDEX($L:$L,_xlpm.r)&gt;0.005)))</f>
        <v>5</v>
      </c>
      <c r="AF8" s="23" cm="1">
        <f t="array" ref="AF8">_xlfn.LET(_xlpm.r,$AA8+_xlfn.SEQUENCE(8,1,0,20),AVERAGE(INDEX($N:$N,_xlpm.r)))</f>
        <v>0</v>
      </c>
      <c r="AG8" s="15" cm="1">
        <f t="array" ref="AG8">_xlfn.LET(_xlpm.r,$AA8+_xlfn.SEQUENCE(8,1,0,20),MAX(INDEX($N:$N,_xlpm.r)))</f>
        <v>0</v>
      </c>
      <c r="AH8" s="15" cm="1">
        <f t="array" ref="AH8">_xlfn.LET(_xlpm.r,$AA8+_xlfn.SEQUENCE(8,1,0,20),_xlpm.b,2+_xlfn.SEQUENCE(8,1,0,20),SUM(--(INDEX($E:$E,_xlpm.r)&lt;&gt;INDEX($E:$E,_xlpm.b))))</f>
        <v>0</v>
      </c>
      <c r="AI8" s="15" cm="1">
        <f t="array" ref="AI8">_xlfn.LET(_xlpm.r,$AA8+_xlfn.SEQUENCE(8,1,0,20),SUM(--(INDEX($Q:$Q,_xlpm.r)="Yes")))</f>
        <v>0</v>
      </c>
      <c r="AJ8" s="23" cm="1">
        <f t="array" ref="AJ8">_xlfn.LET(_xlpm.r,$AA8+_xlfn.SEQUENCE(8,1,0,20),_xlpm.v,INDEX($P:$P,_xlpm.r),IFERROR(AVERAGE(_xlfn._xlws.FILTER(_xlpm.v,ISNUMBER(_xlpm.v))),"N/A"))</f>
        <v>0</v>
      </c>
      <c r="AK8" s="15" cm="1">
        <f t="array" ref="AK8">_xlfn.LET(_xlpm.r,$AA8+_xlfn.SEQUENCE(8,1,0,20),_xlpm.v,INDEX($P:$P,_xlpm.r),IFERROR(MAX(_xlfn._xlws.FILTER(_xlpm.v,ISNUMBER(_xlpm.v))),"N/A"))</f>
        <v>0</v>
      </c>
      <c r="AL8" s="23" cm="1">
        <f t="array" ref="AL8">_xlfn.LET(_xlpm.r,$AA8+_xlfn.SEQUENCE(8,1,0,20),AVERAGE(INDEX($S:$S,_xlpm.r)))</f>
        <v>2.875</v>
      </c>
      <c r="AM8" s="15" cm="1">
        <f t="array" ref="AM8">_xlfn.LET(_xlpm.r,$AA8+_xlfn.SEQUENCE(8,1,0,20),MAX(INDEX($S:$S,_xlpm.r)))</f>
        <v>7</v>
      </c>
      <c r="AN8" s="62">
        <f>_xlfn.LET(
_xlpm.k,ROW()-ROW($AN$2),
_xlpm.ScenarioRanks,INDEX($AT:$AT,2+9*_xlpm.k):INDEX($AT:$AT,9+9*_xlpm.k),
CORREL(_xlpm.ScenarioRanks,$AU$2:$AU$9)
)</f>
        <v>0.85391256382996661</v>
      </c>
      <c r="AR8" s="61">
        <v>1</v>
      </c>
      <c r="AS8" s="60">
        <v>1</v>
      </c>
      <c r="AT8">
        <f t="shared" si="2"/>
        <v>2</v>
      </c>
      <c r="AU8">
        <f t="shared" si="3"/>
        <v>2</v>
      </c>
    </row>
    <row r="9" spans="1:49" x14ac:dyDescent="0.35">
      <c r="A9" s="94"/>
      <c r="B9" s="113" t="s">
        <v>66</v>
      </c>
      <c r="C9" s="44">
        <v>0</v>
      </c>
      <c r="D9" s="47">
        <v>4</v>
      </c>
      <c r="E9" s="47" t="s">
        <v>61</v>
      </c>
      <c r="F9" s="47" t="s">
        <v>63</v>
      </c>
      <c r="G9" s="54">
        <v>0</v>
      </c>
      <c r="H9" s="55">
        <v>0</v>
      </c>
      <c r="I9" s="55">
        <f t="shared" si="0"/>
        <v>0</v>
      </c>
      <c r="J9" s="56">
        <v>0</v>
      </c>
      <c r="K9" s="57">
        <f t="shared" si="4"/>
        <v>0</v>
      </c>
      <c r="L9" s="57">
        <f t="shared" si="5"/>
        <v>0</v>
      </c>
      <c r="M9" s="54">
        <f t="shared" si="6"/>
        <v>0</v>
      </c>
      <c r="N9" s="57">
        <f t="shared" si="7"/>
        <v>0</v>
      </c>
      <c r="O9" s="57" t="s">
        <v>63</v>
      </c>
      <c r="P9" s="57" t="s">
        <v>63</v>
      </c>
      <c r="Q9" s="47" t="s">
        <v>63</v>
      </c>
      <c r="R9" s="54">
        <f t="shared" si="8"/>
        <v>0</v>
      </c>
      <c r="S9" s="58">
        <f t="shared" si="9"/>
        <v>0</v>
      </c>
      <c r="Y9" s="94"/>
      <c r="Z9" s="15" cm="1">
        <f t="array" ref="Z9">INDEX($C:$C,$AA9)</f>
        <v>0.05</v>
      </c>
      <c r="AA9" s="15">
        <f t="shared" si="1"/>
        <v>10</v>
      </c>
      <c r="AB9" s="23" cm="1">
        <f t="array" ref="AB9">_xlfn.LET(_xlpm.r,$AA9+_xlfn.SEQUENCE(8,1,0,20),AVERAGE(INDEX($K:$K,_xlpm.r)))</f>
        <v>0</v>
      </c>
      <c r="AC9" s="23" cm="1">
        <f t="array" ref="AC9">_xlfn.LET(_xlpm.r,$AA9+_xlfn.SEQUENCE(8,1,0,20),AVERAGE(INDEX($L:$L,_xlpm.r)))</f>
        <v>0</v>
      </c>
      <c r="AD9" s="23" cm="1">
        <f t="array" ref="AD9">_xlfn.LET(_xlpm.r,$AA9+_xlfn.SEQUENCE(8,1,0,20),MAX(INDEX($L:$L,_xlpm.r)))</f>
        <v>0</v>
      </c>
      <c r="AE9" s="15" cm="1">
        <f t="array" ref="AE9">_xlfn.LET(_xlpm.r,$AA9+_xlfn.SEQUENCE(8,1,0,20),SUM(--(INDEX($L:$L,_xlpm.r)&gt;0.005)))</f>
        <v>0</v>
      </c>
      <c r="AF9" s="23" cm="1">
        <f t="array" ref="AF9">_xlfn.LET(_xlpm.r,$AA9+_xlfn.SEQUENCE(8,1,0,20),AVERAGE(INDEX($N:$N,_xlpm.r)))</f>
        <v>0</v>
      </c>
      <c r="AG9" s="15" cm="1">
        <f t="array" ref="AG9">_xlfn.LET(_xlpm.r,$AA9+_xlfn.SEQUENCE(8,1,0,20),MAX(INDEX($N:$N,_xlpm.r)))</f>
        <v>0</v>
      </c>
      <c r="AH9" s="15" cm="1">
        <f t="array" ref="AH9">_xlfn.LET(_xlpm.r,$AA9+_xlfn.SEQUENCE(8,1,0,20),_xlpm.b,2+_xlfn.SEQUENCE(8,1,0,20),SUM(--(INDEX($E:$E,_xlpm.r)&lt;&gt;INDEX($E:$E,_xlpm.b))))</f>
        <v>0</v>
      </c>
      <c r="AI9" s="15" cm="1">
        <f t="array" ref="AI9">_xlfn.LET(_xlpm.r,$AA9+_xlfn.SEQUENCE(8,1,0,20),SUM(--(INDEX($Q:$Q,_xlpm.r)="Yes")))</f>
        <v>0</v>
      </c>
      <c r="AJ9" s="23" cm="1">
        <f t="array" ref="AJ9">_xlfn.LET(_xlpm.r,$AA9+_xlfn.SEQUENCE(8,1,0,20),_xlpm.v,INDEX($P:$P,_xlpm.r),IFERROR(AVERAGE(_xlfn._xlws.FILTER(_xlpm.v,ISNUMBER(_xlpm.v))),"N/A"))</f>
        <v>0</v>
      </c>
      <c r="AK9" s="15" cm="1">
        <f t="array" ref="AK9">_xlfn.LET(_xlpm.r,$AA9+_xlfn.SEQUENCE(8,1,0,20),_xlpm.v,INDEX($P:$P,_xlpm.r),IFERROR(MAX(_xlfn._xlws.FILTER(_xlpm.v,ISNUMBER(_xlpm.v))),"N/A"))</f>
        <v>0</v>
      </c>
      <c r="AL9" s="23" cm="1">
        <f t="array" ref="AL9">_xlfn.LET(_xlpm.r,$AA9+_xlfn.SEQUENCE(8,1,0,20),AVERAGE(INDEX($S:$S,_xlpm.r)))</f>
        <v>0</v>
      </c>
      <c r="AM9" s="15" cm="1">
        <f t="array" ref="AM9">_xlfn.LET(_xlpm.r,$AA9+_xlfn.SEQUENCE(8,1,0,20),MAX(INDEX($S:$S,_xlpm.r)))</f>
        <v>0</v>
      </c>
      <c r="AN9" s="62">
        <f>_xlfn.LET(
_xlpm.k,ROW()-ROW($AN$2),
_xlpm.ScenarioRanks,INDEX($AT:$AT,2+9*_xlpm.k):INDEX($AT:$AT,9+9*_xlpm.k),
CORREL(_xlpm.ScenarioRanks,$AU$2:$AU$9)
)</f>
        <v>0.99999999999999978</v>
      </c>
      <c r="AR9" s="61">
        <v>1</v>
      </c>
      <c r="AS9" s="60">
        <v>1</v>
      </c>
      <c r="AT9">
        <f t="shared" si="2"/>
        <v>2</v>
      </c>
      <c r="AU9">
        <f t="shared" si="3"/>
        <v>2</v>
      </c>
    </row>
    <row r="10" spans="1:49" x14ac:dyDescent="0.35">
      <c r="A10" s="94"/>
      <c r="B10" s="111"/>
      <c r="C10" s="44">
        <v>0.05</v>
      </c>
      <c r="D10" s="47">
        <v>4</v>
      </c>
      <c r="E10" s="47" t="s">
        <v>61</v>
      </c>
      <c r="F10" s="47" t="s">
        <v>63</v>
      </c>
      <c r="G10" s="54">
        <v>0</v>
      </c>
      <c r="H10" s="55">
        <v>0</v>
      </c>
      <c r="I10" s="55">
        <f t="shared" si="0"/>
        <v>0</v>
      </c>
      <c r="J10" s="56">
        <v>0</v>
      </c>
      <c r="K10" s="57">
        <f t="shared" si="4"/>
        <v>0</v>
      </c>
      <c r="L10" s="57">
        <f t="shared" si="5"/>
        <v>0</v>
      </c>
      <c r="M10" s="54">
        <f t="shared" si="6"/>
        <v>0</v>
      </c>
      <c r="N10" s="57">
        <f t="shared" si="7"/>
        <v>0</v>
      </c>
      <c r="O10" s="57" t="s">
        <v>63</v>
      </c>
      <c r="P10" s="57" t="s">
        <v>63</v>
      </c>
      <c r="Q10" s="47" t="s">
        <v>63</v>
      </c>
      <c r="R10" s="54">
        <f t="shared" si="8"/>
        <v>0</v>
      </c>
      <c r="S10" s="58">
        <f t="shared" si="9"/>
        <v>0</v>
      </c>
      <c r="Y10" s="94"/>
      <c r="Z10" s="15" cm="1">
        <f t="array" ref="Z10">INDEX($C:$C,$AA10)</f>
        <v>0.25</v>
      </c>
      <c r="AA10" s="15">
        <f t="shared" si="1"/>
        <v>11</v>
      </c>
      <c r="AB10" s="23" cm="1">
        <f t="array" ref="AB10">_xlfn.LET(_xlpm.r,$AA10+_xlfn.SEQUENCE(8,1,0,20),AVERAGE(INDEX($K:$K,_xlpm.r)))</f>
        <v>0</v>
      </c>
      <c r="AC10" s="23" cm="1">
        <f t="array" ref="AC10">_xlfn.LET(_xlpm.r,$AA10+_xlfn.SEQUENCE(8,1,0,20),AVERAGE(INDEX($L:$L,_xlpm.r)))</f>
        <v>0</v>
      </c>
      <c r="AD10" s="23" cm="1">
        <f t="array" ref="AD10">_xlfn.LET(_xlpm.r,$AA10+_xlfn.SEQUENCE(8,1,0,20),MAX(INDEX($L:$L,_xlpm.r)))</f>
        <v>0</v>
      </c>
      <c r="AE10" s="15" cm="1">
        <f t="array" ref="AE10">_xlfn.LET(_xlpm.r,$AA10+_xlfn.SEQUENCE(8,1,0,20),SUM(--(INDEX($L:$L,_xlpm.r)&gt;0.005)))</f>
        <v>0</v>
      </c>
      <c r="AF10" s="23" cm="1">
        <f t="array" ref="AF10">_xlfn.LET(_xlpm.r,$AA10+_xlfn.SEQUENCE(8,1,0,20),AVERAGE(INDEX($N:$N,_xlpm.r)))</f>
        <v>0</v>
      </c>
      <c r="AG10" s="15" cm="1">
        <f t="array" ref="AG10">_xlfn.LET(_xlpm.r,$AA10+_xlfn.SEQUENCE(8,1,0,20),MAX(INDEX($N:$N,_xlpm.r)))</f>
        <v>0</v>
      </c>
      <c r="AH10" s="15" cm="1">
        <f t="array" ref="AH10">_xlfn.LET(_xlpm.r,$AA10+_xlfn.SEQUENCE(8,1,0,20),_xlpm.b,2+_xlfn.SEQUENCE(8,1,0,20),SUM(--(INDEX($E:$E,_xlpm.r)&lt;&gt;INDEX($E:$E,_xlpm.b))))</f>
        <v>0</v>
      </c>
      <c r="AI10" s="15" cm="1">
        <f t="array" ref="AI10">_xlfn.LET(_xlpm.r,$AA10+_xlfn.SEQUENCE(8,1,0,20),SUM(--(INDEX($Q:$Q,_xlpm.r)="Yes")))</f>
        <v>0</v>
      </c>
      <c r="AJ10" s="23" cm="1">
        <f t="array" ref="AJ10">_xlfn.LET(_xlpm.r,$AA10+_xlfn.SEQUENCE(8,1,0,20),_xlpm.v,INDEX($P:$P,_xlpm.r),IFERROR(AVERAGE(_xlfn._xlws.FILTER(_xlpm.v,ISNUMBER(_xlpm.v))),"N/A"))</f>
        <v>0</v>
      </c>
      <c r="AK10" s="15" cm="1">
        <f t="array" ref="AK10">_xlfn.LET(_xlpm.r,$AA10+_xlfn.SEQUENCE(8,1,0,20),_xlpm.v,INDEX($P:$P,_xlpm.r),IFERROR(MAX(_xlfn._xlws.FILTER(_xlpm.v,ISNUMBER(_xlpm.v))),"N/A"))</f>
        <v>0</v>
      </c>
      <c r="AL10" s="23" cm="1">
        <f t="array" ref="AL10">_xlfn.LET(_xlpm.r,$AA10+_xlfn.SEQUENCE(8,1,0,20),AVERAGE(INDEX($S:$S,_xlpm.r)))</f>
        <v>0</v>
      </c>
      <c r="AM10" s="15" cm="1">
        <f t="array" ref="AM10">_xlfn.LET(_xlpm.r,$AA10+_xlfn.SEQUENCE(8,1,0,20),MAX(INDEX($S:$S,_xlpm.r)))</f>
        <v>0</v>
      </c>
      <c r="AN10" s="62">
        <f>_xlfn.LET(
_xlpm.k,ROW()-ROW($AN$2),
_xlpm.ScenarioRanks,INDEX($AT:$AT,2+9*_xlpm.k):INDEX($AT:$AT,9+9*_xlpm.k),
CORREL(_xlpm.ScenarioRanks,$AU$2:$AU$9)
)</f>
        <v>0.99999999999999978</v>
      </c>
    </row>
    <row r="11" spans="1:49" x14ac:dyDescent="0.35">
      <c r="A11" s="94"/>
      <c r="B11" s="111"/>
      <c r="C11" s="44">
        <v>0.25</v>
      </c>
      <c r="D11" s="47">
        <v>4</v>
      </c>
      <c r="E11" s="47" t="s">
        <v>61</v>
      </c>
      <c r="F11" s="47" t="s">
        <v>63</v>
      </c>
      <c r="G11" s="54">
        <v>0</v>
      </c>
      <c r="H11" s="55">
        <v>0</v>
      </c>
      <c r="I11" s="55">
        <f t="shared" si="0"/>
        <v>0</v>
      </c>
      <c r="J11" s="56">
        <v>0</v>
      </c>
      <c r="K11" s="57">
        <f t="shared" si="4"/>
        <v>0</v>
      </c>
      <c r="L11" s="57">
        <f t="shared" si="5"/>
        <v>0</v>
      </c>
      <c r="M11" s="54">
        <f t="shared" si="6"/>
        <v>0</v>
      </c>
      <c r="N11" s="57">
        <f t="shared" si="7"/>
        <v>0</v>
      </c>
      <c r="O11" s="57" t="s">
        <v>63</v>
      </c>
      <c r="P11" s="57" t="s">
        <v>63</v>
      </c>
      <c r="Q11" s="47" t="s">
        <v>63</v>
      </c>
      <c r="R11" s="54">
        <f t="shared" si="8"/>
        <v>0</v>
      </c>
      <c r="S11" s="58">
        <f t="shared" si="9"/>
        <v>0</v>
      </c>
      <c r="Y11" s="94"/>
      <c r="Z11" s="15" cm="1">
        <f t="array" ref="Z11">INDEX($C:$C,$AA11)</f>
        <v>0.35</v>
      </c>
      <c r="AA11" s="15">
        <f t="shared" si="1"/>
        <v>12</v>
      </c>
      <c r="AB11" s="23" cm="1">
        <f t="array" ref="AB11">_xlfn.LET(_xlpm.r,$AA11+_xlfn.SEQUENCE(8,1,0,20),AVERAGE(INDEX($K:$K,_xlpm.r)))</f>
        <v>0</v>
      </c>
      <c r="AC11" s="23" cm="1">
        <f t="array" ref="AC11">_xlfn.LET(_xlpm.r,$AA11+_xlfn.SEQUENCE(8,1,0,20),AVERAGE(INDEX($L:$L,_xlpm.r)))</f>
        <v>0</v>
      </c>
      <c r="AD11" s="23" cm="1">
        <f t="array" ref="AD11">_xlfn.LET(_xlpm.r,$AA11+_xlfn.SEQUENCE(8,1,0,20),MAX(INDEX($L:$L,_xlpm.r)))</f>
        <v>0</v>
      </c>
      <c r="AE11" s="15" cm="1">
        <f t="array" ref="AE11">_xlfn.LET(_xlpm.r,$AA11+_xlfn.SEQUENCE(8,1,0,20),SUM(--(INDEX($L:$L,_xlpm.r)&gt;0.005)))</f>
        <v>0</v>
      </c>
      <c r="AF11" s="23" cm="1">
        <f t="array" ref="AF11">_xlfn.LET(_xlpm.r,$AA11+_xlfn.SEQUENCE(8,1,0,20),AVERAGE(INDEX($N:$N,_xlpm.r)))</f>
        <v>0</v>
      </c>
      <c r="AG11" s="15" cm="1">
        <f t="array" ref="AG11">_xlfn.LET(_xlpm.r,$AA11+_xlfn.SEQUENCE(8,1,0,20),MAX(INDEX($N:$N,_xlpm.r)))</f>
        <v>0</v>
      </c>
      <c r="AH11" s="15" cm="1">
        <f t="array" ref="AH11">_xlfn.LET(_xlpm.r,$AA11+_xlfn.SEQUENCE(8,1,0,20),_xlpm.b,2+_xlfn.SEQUENCE(8,1,0,20),SUM(--(INDEX($E:$E,_xlpm.r)&lt;&gt;INDEX($E:$E,_xlpm.b))))</f>
        <v>0</v>
      </c>
      <c r="AI11" s="15" cm="1">
        <f t="array" ref="AI11">_xlfn.LET(_xlpm.r,$AA11+_xlfn.SEQUENCE(8,1,0,20),SUM(--(INDEX($Q:$Q,_xlpm.r)="Yes")))</f>
        <v>0</v>
      </c>
      <c r="AJ11" s="23" cm="1">
        <f t="array" ref="AJ11">_xlfn.LET(_xlpm.r,$AA11+_xlfn.SEQUENCE(8,1,0,20),_xlpm.v,INDEX($P:$P,_xlpm.r),IFERROR(AVERAGE(_xlfn._xlws.FILTER(_xlpm.v,ISNUMBER(_xlpm.v))),"N/A"))</f>
        <v>0</v>
      </c>
      <c r="AK11" s="15" cm="1">
        <f t="array" ref="AK11">_xlfn.LET(_xlpm.r,$AA11+_xlfn.SEQUENCE(8,1,0,20),_xlpm.v,INDEX($P:$P,_xlpm.r),IFERROR(MAX(_xlfn._xlws.FILTER(_xlpm.v,ISNUMBER(_xlpm.v))),"N/A"))</f>
        <v>0</v>
      </c>
      <c r="AL11" s="23" cm="1">
        <f t="array" ref="AL11">_xlfn.LET(_xlpm.r,$AA11+_xlfn.SEQUENCE(8,1,0,20),AVERAGE(INDEX($S:$S,_xlpm.r)))</f>
        <v>0</v>
      </c>
      <c r="AM11" s="15" cm="1">
        <f t="array" ref="AM11">_xlfn.LET(_xlpm.r,$AA11+_xlfn.SEQUENCE(8,1,0,20),MAX(INDEX($S:$S,_xlpm.r)))</f>
        <v>0</v>
      </c>
      <c r="AN11" s="62">
        <f>_xlfn.LET(
_xlpm.k,ROW()-ROW($AN$2),
_xlpm.ScenarioRanks,INDEX($AT:$AT,2+9*_xlpm.k):INDEX($AT:$AT,9+9*_xlpm.k),
CORREL(_xlpm.ScenarioRanks,$AU$2:$AU$9)
)</f>
        <v>0.99999999999999978</v>
      </c>
      <c r="AR11" s="61" cm="1">
        <f t="array" ref="AR11:AR18">INDEX($J:$J,4+20*_xlfn.SEQUENCE(8,1,0,1))</f>
        <v>0</v>
      </c>
      <c r="AT11">
        <f>_xlfn.RANK.AVG(AR11,$AR$11:$AR$18,0)</f>
        <v>8</v>
      </c>
    </row>
    <row r="12" spans="1:49" x14ac:dyDescent="0.35">
      <c r="A12" s="94"/>
      <c r="B12" s="111"/>
      <c r="C12" s="44">
        <v>0.35</v>
      </c>
      <c r="D12" s="47">
        <v>4</v>
      </c>
      <c r="E12" s="47" t="s">
        <v>61</v>
      </c>
      <c r="F12" s="47" t="s">
        <v>63</v>
      </c>
      <c r="G12" s="54">
        <v>0</v>
      </c>
      <c r="H12" s="55">
        <v>0</v>
      </c>
      <c r="I12" s="55">
        <f t="shared" si="0"/>
        <v>0</v>
      </c>
      <c r="J12" s="56">
        <v>0</v>
      </c>
      <c r="K12" s="57">
        <f t="shared" si="4"/>
        <v>0</v>
      </c>
      <c r="L12" s="57">
        <f t="shared" si="5"/>
        <v>0</v>
      </c>
      <c r="M12" s="54">
        <f t="shared" si="6"/>
        <v>0</v>
      </c>
      <c r="N12" s="57">
        <f t="shared" si="7"/>
        <v>0</v>
      </c>
      <c r="O12" s="57" t="s">
        <v>63</v>
      </c>
      <c r="P12" s="57" t="s">
        <v>63</v>
      </c>
      <c r="Q12" s="47" t="s">
        <v>63</v>
      </c>
      <c r="R12" s="54">
        <f t="shared" si="8"/>
        <v>0</v>
      </c>
      <c r="S12" s="58">
        <f t="shared" si="9"/>
        <v>0</v>
      </c>
      <c r="Y12" s="94"/>
      <c r="Z12" s="15" cm="1">
        <f t="array" ref="Z12">INDEX($C:$C,$AA12)</f>
        <v>0.45</v>
      </c>
      <c r="AA12" s="15">
        <f t="shared" si="1"/>
        <v>13</v>
      </c>
      <c r="AB12" s="23" cm="1">
        <f t="array" ref="AB12">_xlfn.LET(_xlpm.r,$AA12+_xlfn.SEQUENCE(8,1,0,20),AVERAGE(INDEX($K:$K,_xlpm.r)))</f>
        <v>0</v>
      </c>
      <c r="AC12" s="23" cm="1">
        <f t="array" ref="AC12">_xlfn.LET(_xlpm.r,$AA12+_xlfn.SEQUENCE(8,1,0,20),AVERAGE(INDEX($L:$L,_xlpm.r)))</f>
        <v>0</v>
      </c>
      <c r="AD12" s="23" cm="1">
        <f t="array" ref="AD12">_xlfn.LET(_xlpm.r,$AA12+_xlfn.SEQUENCE(8,1,0,20),MAX(INDEX($L:$L,_xlpm.r)))</f>
        <v>0</v>
      </c>
      <c r="AE12" s="15" cm="1">
        <f t="array" ref="AE12">_xlfn.LET(_xlpm.r,$AA12+_xlfn.SEQUENCE(8,1,0,20),SUM(--(INDEX($L:$L,_xlpm.r)&gt;0.005)))</f>
        <v>0</v>
      </c>
      <c r="AF12" s="23" cm="1">
        <f t="array" ref="AF12">_xlfn.LET(_xlpm.r,$AA12+_xlfn.SEQUENCE(8,1,0,20),AVERAGE(INDEX($N:$N,_xlpm.r)))</f>
        <v>0</v>
      </c>
      <c r="AG12" s="15" cm="1">
        <f t="array" ref="AG12">_xlfn.LET(_xlpm.r,$AA12+_xlfn.SEQUENCE(8,1,0,20),MAX(INDEX($N:$N,_xlpm.r)))</f>
        <v>0</v>
      </c>
      <c r="AH12" s="15" cm="1">
        <f t="array" ref="AH12">_xlfn.LET(_xlpm.r,$AA12+_xlfn.SEQUENCE(8,1,0,20),_xlpm.b,2+_xlfn.SEQUENCE(8,1,0,20),SUM(--(INDEX($E:$E,_xlpm.r)&lt;&gt;INDEX($E:$E,_xlpm.b))))</f>
        <v>0</v>
      </c>
      <c r="AI12" s="15" cm="1">
        <f t="array" ref="AI12">_xlfn.LET(_xlpm.r,$AA12+_xlfn.SEQUENCE(8,1,0,20),SUM(--(INDEX($Q:$Q,_xlpm.r)="Yes")))</f>
        <v>0</v>
      </c>
      <c r="AJ12" s="23" cm="1">
        <f t="array" ref="AJ12">_xlfn.LET(_xlpm.r,$AA12+_xlfn.SEQUENCE(8,1,0,20),_xlpm.v,INDEX($P:$P,_xlpm.r),IFERROR(AVERAGE(_xlfn._xlws.FILTER(_xlpm.v,ISNUMBER(_xlpm.v))),"N/A"))</f>
        <v>0</v>
      </c>
      <c r="AK12" s="15" cm="1">
        <f t="array" ref="AK12">_xlfn.LET(_xlpm.r,$AA12+_xlfn.SEQUENCE(8,1,0,20),_xlpm.v,INDEX($P:$P,_xlpm.r),IFERROR(MAX(_xlfn._xlws.FILTER(_xlpm.v,ISNUMBER(_xlpm.v))),"N/A"))</f>
        <v>0</v>
      </c>
      <c r="AL12" s="23" cm="1">
        <f t="array" ref="AL12">_xlfn.LET(_xlpm.r,$AA12+_xlfn.SEQUENCE(8,1,0,20),AVERAGE(INDEX($S:$S,_xlpm.r)))</f>
        <v>0</v>
      </c>
      <c r="AM12" s="15" cm="1">
        <f t="array" ref="AM12">_xlfn.LET(_xlpm.r,$AA12+_xlfn.SEQUENCE(8,1,0,20),MAX(INDEX($S:$S,_xlpm.r)))</f>
        <v>0</v>
      </c>
      <c r="AN12" s="62">
        <f>_xlfn.LET(
_xlpm.k,ROW()-ROW($AN$2),
_xlpm.ScenarioRanks,INDEX($AT:$AT,2+9*_xlpm.k):INDEX($AT:$AT,9+9*_xlpm.k),
CORREL(_xlpm.ScenarioRanks,$AU$2:$AU$9)
)</f>
        <v>0.99999999999999978</v>
      </c>
      <c r="AR12" s="61">
        <v>1</v>
      </c>
      <c r="AT12">
        <f t="shared" ref="AT12:AT18" si="10">_xlfn.RANK.AVG(AR12,$AR$11:$AR$18,0)</f>
        <v>2</v>
      </c>
    </row>
    <row r="13" spans="1:49" x14ac:dyDescent="0.35">
      <c r="A13" s="94"/>
      <c r="B13" s="111"/>
      <c r="C13" s="44">
        <v>0.45</v>
      </c>
      <c r="D13" s="47">
        <v>4</v>
      </c>
      <c r="E13" s="47" t="s">
        <v>61</v>
      </c>
      <c r="F13" s="47" t="s">
        <v>63</v>
      </c>
      <c r="G13" s="54">
        <v>0</v>
      </c>
      <c r="H13" s="55">
        <v>0</v>
      </c>
      <c r="I13" s="55">
        <f t="shared" si="0"/>
        <v>0</v>
      </c>
      <c r="J13" s="56">
        <v>0</v>
      </c>
      <c r="K13" s="57">
        <f t="shared" si="4"/>
        <v>0</v>
      </c>
      <c r="L13" s="57">
        <f t="shared" si="5"/>
        <v>0</v>
      </c>
      <c r="M13" s="54">
        <f t="shared" si="6"/>
        <v>0</v>
      </c>
      <c r="N13" s="57">
        <f t="shared" si="7"/>
        <v>0</v>
      </c>
      <c r="O13" s="57" t="s">
        <v>63</v>
      </c>
      <c r="P13" s="57" t="s">
        <v>63</v>
      </c>
      <c r="Q13" s="47" t="s">
        <v>63</v>
      </c>
      <c r="R13" s="54">
        <f t="shared" si="8"/>
        <v>0</v>
      </c>
      <c r="S13" s="58">
        <f t="shared" si="9"/>
        <v>0</v>
      </c>
      <c r="Y13" s="94"/>
      <c r="Z13" s="15" cm="1">
        <f t="array" ref="Z13">INDEX($C:$C,$AA13)</f>
        <v>0.55000000000000004</v>
      </c>
      <c r="AA13" s="15">
        <f t="shared" si="1"/>
        <v>14</v>
      </c>
      <c r="AB13" s="23" cm="1">
        <f t="array" ref="AB13">_xlfn.LET(_xlpm.r,$AA13+_xlfn.SEQUENCE(8,1,0,20),AVERAGE(INDEX($K:$K,_xlpm.r)))</f>
        <v>0</v>
      </c>
      <c r="AC13" s="23" cm="1">
        <f t="array" ref="AC13">_xlfn.LET(_xlpm.r,$AA13+_xlfn.SEQUENCE(8,1,0,20),AVERAGE(INDEX($L:$L,_xlpm.r)))</f>
        <v>0</v>
      </c>
      <c r="AD13" s="23" cm="1">
        <f t="array" ref="AD13">_xlfn.LET(_xlpm.r,$AA13+_xlfn.SEQUENCE(8,1,0,20),MAX(INDEX($L:$L,_xlpm.r)))</f>
        <v>0</v>
      </c>
      <c r="AE13" s="15" cm="1">
        <f t="array" ref="AE13">_xlfn.LET(_xlpm.r,$AA13+_xlfn.SEQUENCE(8,1,0,20),SUM(--(INDEX($L:$L,_xlpm.r)&gt;0.005)))</f>
        <v>0</v>
      </c>
      <c r="AF13" s="23" cm="1">
        <f t="array" ref="AF13">_xlfn.LET(_xlpm.r,$AA13+_xlfn.SEQUENCE(8,1,0,20),AVERAGE(INDEX($N:$N,_xlpm.r)))</f>
        <v>0</v>
      </c>
      <c r="AG13" s="15" cm="1">
        <f t="array" ref="AG13">_xlfn.LET(_xlpm.r,$AA13+_xlfn.SEQUENCE(8,1,0,20),MAX(INDEX($N:$N,_xlpm.r)))</f>
        <v>0</v>
      </c>
      <c r="AH13" s="15" cm="1">
        <f t="array" ref="AH13">_xlfn.LET(_xlpm.r,$AA13+_xlfn.SEQUENCE(8,1,0,20),_xlpm.b,2+_xlfn.SEQUENCE(8,1,0,20),SUM(--(INDEX($E:$E,_xlpm.r)&lt;&gt;INDEX($E:$E,_xlpm.b))))</f>
        <v>0</v>
      </c>
      <c r="AI13" s="15" cm="1">
        <f t="array" ref="AI13">_xlfn.LET(_xlpm.r,$AA13+_xlfn.SEQUENCE(8,1,0,20),SUM(--(INDEX($Q:$Q,_xlpm.r)="Yes")))</f>
        <v>0</v>
      </c>
      <c r="AJ13" s="23" cm="1">
        <f t="array" ref="AJ13">_xlfn.LET(_xlpm.r,$AA13+_xlfn.SEQUENCE(8,1,0,20),_xlpm.v,INDEX($P:$P,_xlpm.r),IFERROR(AVERAGE(_xlfn._xlws.FILTER(_xlpm.v,ISNUMBER(_xlpm.v))),"N/A"))</f>
        <v>0</v>
      </c>
      <c r="AK13" s="15" cm="1">
        <f t="array" ref="AK13">_xlfn.LET(_xlpm.r,$AA13+_xlfn.SEQUENCE(8,1,0,20),_xlpm.v,INDEX($P:$P,_xlpm.r),IFERROR(MAX(_xlfn._xlws.FILTER(_xlpm.v,ISNUMBER(_xlpm.v))),"N/A"))</f>
        <v>0</v>
      </c>
      <c r="AL13" s="23" cm="1">
        <f t="array" ref="AL13">_xlfn.LET(_xlpm.r,$AA13+_xlfn.SEQUENCE(8,1,0,20),AVERAGE(INDEX($S:$S,_xlpm.r)))</f>
        <v>0</v>
      </c>
      <c r="AM13" s="15" cm="1">
        <f t="array" ref="AM13">_xlfn.LET(_xlpm.r,$AA13+_xlfn.SEQUENCE(8,1,0,20),MAX(INDEX($S:$S,_xlpm.r)))</f>
        <v>0</v>
      </c>
      <c r="AN13" s="62">
        <f>_xlfn.LET(
_xlpm.k,ROW()-ROW($AN$2),
_xlpm.ScenarioRanks,INDEX($AT:$AT,2+9*_xlpm.k):INDEX($AT:$AT,9+9*_xlpm.k),
CORREL(_xlpm.ScenarioRanks,$AU$2:$AU$9)
)</f>
        <v>0.99999999999999978</v>
      </c>
      <c r="AR13" s="61">
        <v>0.6008</v>
      </c>
      <c r="AT13">
        <f t="shared" si="10"/>
        <v>6</v>
      </c>
    </row>
    <row r="14" spans="1:49" x14ac:dyDescent="0.35">
      <c r="A14" s="94"/>
      <c r="B14" s="112"/>
      <c r="C14" s="44">
        <v>0.55000000000000004</v>
      </c>
      <c r="D14" s="47">
        <v>4</v>
      </c>
      <c r="E14" s="47" t="s">
        <v>61</v>
      </c>
      <c r="F14" s="47" t="s">
        <v>63</v>
      </c>
      <c r="G14" s="54">
        <v>0</v>
      </c>
      <c r="H14" s="55">
        <v>0</v>
      </c>
      <c r="I14" s="55">
        <f t="shared" si="0"/>
        <v>0</v>
      </c>
      <c r="J14" s="56">
        <v>0</v>
      </c>
      <c r="K14" s="57">
        <f t="shared" si="4"/>
        <v>0</v>
      </c>
      <c r="L14" s="57">
        <f t="shared" si="5"/>
        <v>0</v>
      </c>
      <c r="M14" s="54">
        <f t="shared" si="6"/>
        <v>0</v>
      </c>
      <c r="N14" s="57">
        <f t="shared" si="7"/>
        <v>0</v>
      </c>
      <c r="O14" s="57" t="s">
        <v>63</v>
      </c>
      <c r="P14" s="57" t="s">
        <v>63</v>
      </c>
      <c r="Q14" s="47" t="s">
        <v>63</v>
      </c>
      <c r="R14" s="54">
        <f t="shared" si="8"/>
        <v>0</v>
      </c>
      <c r="S14" s="58">
        <f t="shared" si="9"/>
        <v>0</v>
      </c>
      <c r="Y14" s="94" t="s">
        <v>51</v>
      </c>
      <c r="Z14" s="15" cm="1">
        <f t="array" ref="Z14">INDEX($C:$C,$AA14)</f>
        <v>0</v>
      </c>
      <c r="AA14" s="15">
        <f t="shared" si="1"/>
        <v>15</v>
      </c>
      <c r="AB14" s="23" cm="1">
        <f t="array" ref="AB14">_xlfn.LET(_xlpm.r,$AA14+_xlfn.SEQUENCE(8,1,0,20),AVERAGE(INDEX($K:$K,_xlpm.r)))</f>
        <v>-51.22375000000001</v>
      </c>
      <c r="AC14" s="23" cm="1">
        <f t="array" ref="AC14">_xlfn.LET(_xlpm.r,$AA14+_xlfn.SEQUENCE(8,1,0,20),AVERAGE(INDEX($L:$L,_xlpm.r)))</f>
        <v>51.22375000000001</v>
      </c>
      <c r="AD14" s="23" cm="1">
        <f t="array" ref="AD14">_xlfn.LET(_xlpm.r,$AA14+_xlfn.SEQUENCE(8,1,0,20),MAX(INDEX($L:$L,_xlpm.r)))</f>
        <v>98.110000000000014</v>
      </c>
      <c r="AE14" s="15" cm="1">
        <f t="array" ref="AE14">_xlfn.LET(_xlpm.r,$AA14+_xlfn.SEQUENCE(8,1,0,20),SUM(--(INDEX($L:$L,_xlpm.r)&gt;0.005)))</f>
        <v>7</v>
      </c>
      <c r="AF14" s="23" cm="1">
        <f t="array" ref="AF14">_xlfn.LET(_xlpm.r,$AA14+_xlfn.SEQUENCE(8,1,0,20),AVERAGE(INDEX($N:$N,_xlpm.r)))</f>
        <v>0</v>
      </c>
      <c r="AG14" s="15" cm="1">
        <f t="array" ref="AG14">_xlfn.LET(_xlpm.r,$AA14+_xlfn.SEQUENCE(8,1,0,20),MAX(INDEX($N:$N,_xlpm.r)))</f>
        <v>0</v>
      </c>
      <c r="AH14" s="15" cm="1">
        <f t="array" ref="AH14">_xlfn.LET(_xlpm.r,$AA14+_xlfn.SEQUENCE(8,1,0,20),_xlpm.b,2+_xlfn.SEQUENCE(8,1,0,20),SUM(--(INDEX($E:$E,_xlpm.r)&lt;&gt;INDEX($E:$E,_xlpm.b))))</f>
        <v>0</v>
      </c>
      <c r="AI14" s="15" cm="1">
        <f t="array" ref="AI14">_xlfn.LET(_xlpm.r,$AA14+_xlfn.SEQUENCE(8,1,0,20),SUM(--(INDEX($Q:$Q,_xlpm.r)="Yes")))</f>
        <v>5</v>
      </c>
      <c r="AJ14" s="23" cm="1">
        <f t="array" ref="AJ14">_xlfn.LET(_xlpm.r,$AA14+_xlfn.SEQUENCE(8,1,0,20),_xlpm.v,INDEX($P:$P,_xlpm.r),IFERROR(AVERAGE(_xlfn._xlws.FILTER(_xlpm.v,ISNUMBER(_xlpm.v))),"N/A"))</f>
        <v>3.6728571428571448</v>
      </c>
      <c r="AK14" s="15" cm="1">
        <f t="array" ref="AK14">_xlfn.LET(_xlpm.r,$AA14+_xlfn.SEQUENCE(8,1,0,20),_xlpm.v,INDEX($P:$P,_xlpm.r),IFERROR(MAX(_xlfn._xlws.FILTER(_xlpm.v,ISNUMBER(_xlpm.v))),"N/A"))</f>
        <v>8.230000000000004</v>
      </c>
      <c r="AL14" s="23" cm="1">
        <f t="array" ref="AL14">_xlfn.LET(_xlpm.r,$AA14+_xlfn.SEQUENCE(8,1,0,20),AVERAGE(INDEX($S:$S,_xlpm.r)))</f>
        <v>43</v>
      </c>
      <c r="AM14" s="15" cm="1">
        <f t="array" ref="AM14">_xlfn.LET(_xlpm.r,$AA14+_xlfn.SEQUENCE(8,1,0,20),MAX(INDEX($S:$S,_xlpm.r)))</f>
        <v>95</v>
      </c>
      <c r="AN14" s="62">
        <f>_xlfn.LET(
_xlpm.k,ROW()-ROW($AN$2),
_xlpm.ScenarioRanks,INDEX($AT:$AT,2+9*_xlpm.k):INDEX($AT:$AT,9+9*_xlpm.k),
CORREL(_xlpm.ScenarioRanks,$AU$2:$AU$9)
)</f>
        <v>0.53674504012169322</v>
      </c>
      <c r="AR14" s="61">
        <v>0.7681</v>
      </c>
      <c r="AT14">
        <f t="shared" si="10"/>
        <v>5</v>
      </c>
    </row>
    <row r="15" spans="1:49" x14ac:dyDescent="0.35">
      <c r="A15" s="94"/>
      <c r="B15" s="110" t="s">
        <v>51</v>
      </c>
      <c r="C15" s="44">
        <v>0</v>
      </c>
      <c r="D15" s="47">
        <v>4</v>
      </c>
      <c r="E15" s="47" t="s">
        <v>61</v>
      </c>
      <c r="F15" s="47" t="s">
        <v>63</v>
      </c>
      <c r="G15" s="54">
        <v>0</v>
      </c>
      <c r="H15" s="55">
        <v>0</v>
      </c>
      <c r="I15" s="55">
        <f t="shared" si="0"/>
        <v>0</v>
      </c>
      <c r="J15" s="56">
        <v>0</v>
      </c>
      <c r="K15" s="57">
        <f t="shared" si="4"/>
        <v>0</v>
      </c>
      <c r="L15" s="57">
        <f t="shared" si="5"/>
        <v>0</v>
      </c>
      <c r="M15" s="54">
        <f t="shared" si="6"/>
        <v>0</v>
      </c>
      <c r="N15" s="57">
        <f t="shared" si="7"/>
        <v>0</v>
      </c>
      <c r="O15" s="57" t="s">
        <v>63</v>
      </c>
      <c r="P15" s="57" t="s">
        <v>63</v>
      </c>
      <c r="Q15" s="47" t="s">
        <v>63</v>
      </c>
      <c r="R15" s="54">
        <f t="shared" si="8"/>
        <v>0</v>
      </c>
      <c r="S15" s="58">
        <f t="shared" si="9"/>
        <v>0</v>
      </c>
      <c r="Y15" s="94"/>
      <c r="Z15" s="15" cm="1">
        <f t="array" ref="Z15">INDEX($C:$C,$AA15)</f>
        <v>0.05</v>
      </c>
      <c r="AA15" s="15">
        <f t="shared" si="1"/>
        <v>16</v>
      </c>
      <c r="AB15" s="23" cm="1">
        <f t="array" ref="AB15">_xlfn.LET(_xlpm.r,$AA15+_xlfn.SEQUENCE(8,1,0,20),AVERAGE(INDEX($K:$K,_xlpm.r)))</f>
        <v>-4.3462500000000004</v>
      </c>
      <c r="AC15" s="23" cm="1">
        <f t="array" ref="AC15">_xlfn.LET(_xlpm.r,$AA15+_xlfn.SEQUENCE(8,1,0,20),AVERAGE(INDEX($L:$L,_xlpm.r)))</f>
        <v>4.3462500000000004</v>
      </c>
      <c r="AD15" s="23" cm="1">
        <f t="array" ref="AD15">_xlfn.LET(_xlpm.r,$AA15+_xlfn.SEQUENCE(8,1,0,20),MAX(INDEX($L:$L,_xlpm.r)))</f>
        <v>34.770000000000003</v>
      </c>
      <c r="AE15" s="15" cm="1">
        <f t="array" ref="AE15">_xlfn.LET(_xlpm.r,$AA15+_xlfn.SEQUENCE(8,1,0,20),SUM(--(INDEX($L:$L,_xlpm.r)&gt;0.005)))</f>
        <v>1</v>
      </c>
      <c r="AF15" s="23" cm="1">
        <f t="array" ref="AF15">_xlfn.LET(_xlpm.r,$AA15+_xlfn.SEQUENCE(8,1,0,20),AVERAGE(INDEX($N:$N,_xlpm.r)))</f>
        <v>0</v>
      </c>
      <c r="AG15" s="15" cm="1">
        <f t="array" ref="AG15">_xlfn.LET(_xlpm.r,$AA15+_xlfn.SEQUENCE(8,1,0,20),MAX(INDEX($N:$N,_xlpm.r)))</f>
        <v>0</v>
      </c>
      <c r="AH15" s="15" cm="1">
        <f t="array" ref="AH15">_xlfn.LET(_xlpm.r,$AA15+_xlfn.SEQUENCE(8,1,0,20),_xlpm.b,2+_xlfn.SEQUENCE(8,1,0,20),SUM(--(INDEX($E:$E,_xlpm.r)&lt;&gt;INDEX($E:$E,_xlpm.b))))</f>
        <v>0</v>
      </c>
      <c r="AI15" s="15" cm="1">
        <f t="array" ref="AI15">_xlfn.LET(_xlpm.r,$AA15+_xlfn.SEQUENCE(8,1,0,20),SUM(--(INDEX($Q:$Q,_xlpm.r)="Yes")))</f>
        <v>1</v>
      </c>
      <c r="AJ15" s="23" cm="1">
        <f t="array" ref="AJ15">_xlfn.LET(_xlpm.r,$AA15+_xlfn.SEQUENCE(8,1,0,20),_xlpm.v,INDEX($P:$P,_xlpm.r),IFERROR(AVERAGE(_xlfn._xlws.FILTER(_xlpm.v,ISNUMBER(_xlpm.v))),"N/A"))</f>
        <v>0.79285714285714293</v>
      </c>
      <c r="AK15" s="15" cm="1">
        <f t="array" ref="AK15">_xlfn.LET(_xlpm.r,$AA15+_xlfn.SEQUENCE(8,1,0,20),_xlpm.v,INDEX($P:$P,_xlpm.r),IFERROR(MAX(_xlfn._xlws.FILTER(_xlpm.v,ISNUMBER(_xlpm.v))),"N/A"))</f>
        <v>5.5500000000000007</v>
      </c>
      <c r="AL15" s="23" cm="1">
        <f t="array" ref="AL15">_xlfn.LET(_xlpm.r,$AA15+_xlfn.SEQUENCE(8,1,0,20),AVERAGE(INDEX($S:$S,_xlpm.r)))</f>
        <v>7.25</v>
      </c>
      <c r="AM15" s="15" cm="1">
        <f t="array" ref="AM15">_xlfn.LET(_xlpm.r,$AA15+_xlfn.SEQUENCE(8,1,0,20),MAX(INDEX($S:$S,_xlpm.r)))</f>
        <v>58</v>
      </c>
      <c r="AN15" s="62">
        <f>_xlfn.LET(
_xlpm.k,ROW()-ROW($AN$2),
_xlpm.ScenarioRanks,INDEX($AT:$AT,2+9*_xlpm.k):INDEX($AT:$AT,9+9*_xlpm.k),
CORREL(_xlpm.ScenarioRanks,$AU$2:$AU$9)
)</f>
        <v>0.99999999999999978</v>
      </c>
      <c r="AR15" s="61">
        <v>0.51200000000000001</v>
      </c>
      <c r="AT15">
        <f t="shared" si="10"/>
        <v>7</v>
      </c>
    </row>
    <row r="16" spans="1:49" x14ac:dyDescent="0.35">
      <c r="A16" s="94"/>
      <c r="B16" s="111"/>
      <c r="C16" s="44">
        <v>0.05</v>
      </c>
      <c r="D16" s="47">
        <v>4</v>
      </c>
      <c r="E16" s="47" t="s">
        <v>61</v>
      </c>
      <c r="F16" s="47" t="s">
        <v>63</v>
      </c>
      <c r="G16" s="54">
        <v>0</v>
      </c>
      <c r="H16" s="55">
        <v>0</v>
      </c>
      <c r="I16" s="55">
        <f t="shared" si="0"/>
        <v>0</v>
      </c>
      <c r="J16" s="56">
        <v>0</v>
      </c>
      <c r="K16" s="57">
        <f t="shared" si="4"/>
        <v>0</v>
      </c>
      <c r="L16" s="57">
        <f t="shared" si="5"/>
        <v>0</v>
      </c>
      <c r="M16" s="54">
        <f t="shared" si="6"/>
        <v>0</v>
      </c>
      <c r="N16" s="57">
        <f t="shared" si="7"/>
        <v>0</v>
      </c>
      <c r="O16" s="57" t="s">
        <v>63</v>
      </c>
      <c r="P16" s="57" t="s">
        <v>63</v>
      </c>
      <c r="Q16" s="47" t="s">
        <v>63</v>
      </c>
      <c r="R16" s="54">
        <f t="shared" si="8"/>
        <v>0</v>
      </c>
      <c r="S16" s="58">
        <f t="shared" si="9"/>
        <v>0</v>
      </c>
      <c r="Y16" s="94"/>
      <c r="Z16" s="15" cm="1">
        <f t="array" ref="Z16">INDEX($C:$C,$AA16)</f>
        <v>0.15</v>
      </c>
      <c r="AA16" s="15">
        <f t="shared" si="1"/>
        <v>17</v>
      </c>
      <c r="AB16" s="23" cm="1">
        <f t="array" ref="AB16">_xlfn.LET(_xlpm.r,$AA16+_xlfn.SEQUENCE(8,1,0,20),AVERAGE(INDEX($K:$K,_xlpm.r)))</f>
        <v>0</v>
      </c>
      <c r="AC16" s="23" cm="1">
        <f t="array" ref="AC16">_xlfn.LET(_xlpm.r,$AA16+_xlfn.SEQUENCE(8,1,0,20),AVERAGE(INDEX($L:$L,_xlpm.r)))</f>
        <v>0</v>
      </c>
      <c r="AD16" s="23" cm="1">
        <f t="array" ref="AD16">_xlfn.LET(_xlpm.r,$AA16+_xlfn.SEQUENCE(8,1,0,20),MAX(INDEX($L:$L,_xlpm.r)))</f>
        <v>0</v>
      </c>
      <c r="AE16" s="15" cm="1">
        <f t="array" ref="AE16">_xlfn.LET(_xlpm.r,$AA16+_xlfn.SEQUENCE(8,1,0,20),SUM(--(INDEX($L:$L,_xlpm.r)&gt;0.005)))</f>
        <v>0</v>
      </c>
      <c r="AF16" s="23" cm="1">
        <f t="array" ref="AF16">_xlfn.LET(_xlpm.r,$AA16+_xlfn.SEQUENCE(8,1,0,20),AVERAGE(INDEX($N:$N,_xlpm.r)))</f>
        <v>0</v>
      </c>
      <c r="AG16" s="15" cm="1">
        <f t="array" ref="AG16">_xlfn.LET(_xlpm.r,$AA16+_xlfn.SEQUENCE(8,1,0,20),MAX(INDEX($N:$N,_xlpm.r)))</f>
        <v>0</v>
      </c>
      <c r="AH16" s="15" cm="1">
        <f t="array" ref="AH16">_xlfn.LET(_xlpm.r,$AA16+_xlfn.SEQUENCE(8,1,0,20),_xlpm.b,2+_xlfn.SEQUENCE(8,1,0,20),SUM(--(INDEX($E:$E,_xlpm.r)&lt;&gt;INDEX($E:$E,_xlpm.b))))</f>
        <v>0</v>
      </c>
      <c r="AI16" s="15" cm="1">
        <f t="array" ref="AI16">_xlfn.LET(_xlpm.r,$AA16+_xlfn.SEQUENCE(8,1,0,20),SUM(--(INDEX($Q:$Q,_xlpm.r)="Yes")))</f>
        <v>0</v>
      </c>
      <c r="AJ16" s="23" cm="1">
        <f t="array" ref="AJ16">_xlfn.LET(_xlpm.r,$AA16+_xlfn.SEQUENCE(8,1,0,20),_xlpm.v,INDEX($P:$P,_xlpm.r),IFERROR(AVERAGE(_xlfn._xlws.FILTER(_xlpm.v,ISNUMBER(_xlpm.v))),"N/A"))</f>
        <v>0</v>
      </c>
      <c r="AK16" s="15" cm="1">
        <f t="array" ref="AK16">_xlfn.LET(_xlpm.r,$AA16+_xlfn.SEQUENCE(8,1,0,20),_xlpm.v,INDEX($P:$P,_xlpm.r),IFERROR(MAX(_xlfn._xlws.FILTER(_xlpm.v,ISNUMBER(_xlpm.v))),"N/A"))</f>
        <v>0</v>
      </c>
      <c r="AL16" s="23" cm="1">
        <f t="array" ref="AL16">_xlfn.LET(_xlpm.r,$AA16+_xlfn.SEQUENCE(8,1,0,20),AVERAGE(INDEX($S:$S,_xlpm.r)))</f>
        <v>0</v>
      </c>
      <c r="AM16" s="15" cm="1">
        <f t="array" ref="AM16">_xlfn.LET(_xlpm.r,$AA16+_xlfn.SEQUENCE(8,1,0,20),MAX(INDEX($S:$S,_xlpm.r)))</f>
        <v>0</v>
      </c>
      <c r="AN16" s="62">
        <f>_xlfn.LET(
_xlpm.k,ROW()-ROW($AN$2),
_xlpm.ScenarioRanks,INDEX($AT:$AT,2+9*_xlpm.k):INDEX($AT:$AT,9+9*_xlpm.k),
CORREL(_xlpm.ScenarioRanks,$AU$2:$AU$9)
)</f>
        <v>0.99999999999999978</v>
      </c>
      <c r="AR16" s="61">
        <v>0.98640000000000005</v>
      </c>
      <c r="AT16">
        <f t="shared" si="10"/>
        <v>4</v>
      </c>
    </row>
    <row r="17" spans="1:46" x14ac:dyDescent="0.35">
      <c r="A17" s="94"/>
      <c r="B17" s="111"/>
      <c r="C17" s="44">
        <v>0.15</v>
      </c>
      <c r="D17" s="47">
        <v>4</v>
      </c>
      <c r="E17" s="47" t="s">
        <v>61</v>
      </c>
      <c r="F17" s="47" t="s">
        <v>63</v>
      </c>
      <c r="G17" s="54">
        <v>0</v>
      </c>
      <c r="H17" s="55">
        <v>0</v>
      </c>
      <c r="I17" s="55">
        <f t="shared" si="0"/>
        <v>0</v>
      </c>
      <c r="J17" s="56">
        <v>0</v>
      </c>
      <c r="K17" s="57">
        <f t="shared" si="4"/>
        <v>0</v>
      </c>
      <c r="L17" s="57">
        <f t="shared" si="5"/>
        <v>0</v>
      </c>
      <c r="M17" s="54">
        <f t="shared" si="6"/>
        <v>0</v>
      </c>
      <c r="N17" s="57">
        <f t="shared" si="7"/>
        <v>0</v>
      </c>
      <c r="O17" s="57" t="s">
        <v>63</v>
      </c>
      <c r="P17" s="57" t="s">
        <v>63</v>
      </c>
      <c r="Q17" s="47" t="s">
        <v>63</v>
      </c>
      <c r="R17" s="54">
        <f t="shared" si="8"/>
        <v>0</v>
      </c>
      <c r="S17" s="58">
        <f t="shared" si="9"/>
        <v>0</v>
      </c>
      <c r="Y17" s="94"/>
      <c r="Z17" s="15" cm="1">
        <f t="array" ref="Z17">INDEX($C:$C,$AA17)</f>
        <v>0.25</v>
      </c>
      <c r="AA17" s="15">
        <f t="shared" si="1"/>
        <v>18</v>
      </c>
      <c r="AB17" s="23" cm="1">
        <f t="array" ref="AB17">_xlfn.LET(_xlpm.r,$AA17+_xlfn.SEQUENCE(8,1,0,20),AVERAGE(INDEX($K:$K,_xlpm.r)))</f>
        <v>0</v>
      </c>
      <c r="AC17" s="23" cm="1">
        <f t="array" ref="AC17">_xlfn.LET(_xlpm.r,$AA17+_xlfn.SEQUENCE(8,1,0,20),AVERAGE(INDEX($L:$L,_xlpm.r)))</f>
        <v>0</v>
      </c>
      <c r="AD17" s="23" cm="1">
        <f t="array" ref="AD17">_xlfn.LET(_xlpm.r,$AA17+_xlfn.SEQUENCE(8,1,0,20),MAX(INDEX($L:$L,_xlpm.r)))</f>
        <v>0</v>
      </c>
      <c r="AE17" s="15" cm="1">
        <f t="array" ref="AE17">_xlfn.LET(_xlpm.r,$AA17+_xlfn.SEQUENCE(8,1,0,20),SUM(--(INDEX($L:$L,_xlpm.r)&gt;0.005)))</f>
        <v>0</v>
      </c>
      <c r="AF17" s="23" cm="1">
        <f t="array" ref="AF17">_xlfn.LET(_xlpm.r,$AA17+_xlfn.SEQUENCE(8,1,0,20),AVERAGE(INDEX($N:$N,_xlpm.r)))</f>
        <v>0</v>
      </c>
      <c r="AG17" s="15" cm="1">
        <f t="array" ref="AG17">_xlfn.LET(_xlpm.r,$AA17+_xlfn.SEQUENCE(8,1,0,20),MAX(INDEX($N:$N,_xlpm.r)))</f>
        <v>0</v>
      </c>
      <c r="AH17" s="15" cm="1">
        <f t="array" ref="AH17">_xlfn.LET(_xlpm.r,$AA17+_xlfn.SEQUENCE(8,1,0,20),_xlpm.b,2+_xlfn.SEQUENCE(8,1,0,20),SUM(--(INDEX($E:$E,_xlpm.r)&lt;&gt;INDEX($E:$E,_xlpm.b))))</f>
        <v>0</v>
      </c>
      <c r="AI17" s="15" cm="1">
        <f t="array" ref="AI17">_xlfn.LET(_xlpm.r,$AA17+_xlfn.SEQUENCE(8,1,0,20),SUM(--(INDEX($Q:$Q,_xlpm.r)="Yes")))</f>
        <v>0</v>
      </c>
      <c r="AJ17" s="23" cm="1">
        <f t="array" ref="AJ17">_xlfn.LET(_xlpm.r,$AA17+_xlfn.SEQUENCE(8,1,0,20),_xlpm.v,INDEX($P:$P,_xlpm.r),IFERROR(AVERAGE(_xlfn._xlws.FILTER(_xlpm.v,ISNUMBER(_xlpm.v))),"N/A"))</f>
        <v>0</v>
      </c>
      <c r="AK17" s="15" cm="1">
        <f t="array" ref="AK17">_xlfn.LET(_xlpm.r,$AA17+_xlfn.SEQUENCE(8,1,0,20),_xlpm.v,INDEX($P:$P,_xlpm.r),IFERROR(MAX(_xlfn._xlws.FILTER(_xlpm.v,ISNUMBER(_xlpm.v))),"N/A"))</f>
        <v>0</v>
      </c>
      <c r="AL17" s="23" cm="1">
        <f t="array" ref="AL17">_xlfn.LET(_xlpm.r,$AA17+_xlfn.SEQUENCE(8,1,0,20),AVERAGE(INDEX($S:$S,_xlpm.r)))</f>
        <v>0</v>
      </c>
      <c r="AM17" s="15" cm="1">
        <f t="array" ref="AM17">_xlfn.LET(_xlpm.r,$AA17+_xlfn.SEQUENCE(8,1,0,20),MAX(INDEX($S:$S,_xlpm.r)))</f>
        <v>0</v>
      </c>
      <c r="AN17" s="62">
        <f>_xlfn.LET(
_xlpm.k,ROW()-ROW($AN$2),
_xlpm.ScenarioRanks,INDEX($AT:$AT,2+9*_xlpm.k):INDEX($AT:$AT,9+9*_xlpm.k),
CORREL(_xlpm.ScenarioRanks,$AU$2:$AU$9)
)</f>
        <v>0.99999999999999978</v>
      </c>
      <c r="AR17" s="61">
        <v>1</v>
      </c>
      <c r="AT17">
        <f t="shared" si="10"/>
        <v>2</v>
      </c>
    </row>
    <row r="18" spans="1:46" x14ac:dyDescent="0.35">
      <c r="A18" s="94"/>
      <c r="B18" s="111"/>
      <c r="C18" s="44">
        <v>0.25</v>
      </c>
      <c r="D18" s="47">
        <v>4</v>
      </c>
      <c r="E18" s="47" t="s">
        <v>61</v>
      </c>
      <c r="F18" s="47" t="s">
        <v>63</v>
      </c>
      <c r="G18" s="54">
        <v>0</v>
      </c>
      <c r="H18" s="55">
        <v>0</v>
      </c>
      <c r="I18" s="55">
        <f t="shared" si="0"/>
        <v>0</v>
      </c>
      <c r="J18" s="56">
        <v>0</v>
      </c>
      <c r="K18" s="57">
        <f t="shared" si="4"/>
        <v>0</v>
      </c>
      <c r="L18" s="57">
        <f t="shared" si="5"/>
        <v>0</v>
      </c>
      <c r="M18" s="54">
        <f t="shared" si="6"/>
        <v>0</v>
      </c>
      <c r="N18" s="57">
        <f t="shared" si="7"/>
        <v>0</v>
      </c>
      <c r="O18" s="57" t="s">
        <v>63</v>
      </c>
      <c r="P18" s="57" t="s">
        <v>63</v>
      </c>
      <c r="Q18" s="47" t="s">
        <v>63</v>
      </c>
      <c r="R18" s="54">
        <f t="shared" si="8"/>
        <v>0</v>
      </c>
      <c r="S18" s="58">
        <f t="shared" si="9"/>
        <v>0</v>
      </c>
      <c r="Y18" s="94"/>
      <c r="Z18" s="15" cm="1">
        <f t="array" ref="Z18">INDEX($C:$C,$AA18)</f>
        <v>0.45</v>
      </c>
      <c r="AA18" s="15">
        <f t="shared" si="1"/>
        <v>19</v>
      </c>
      <c r="AB18" s="23" cm="1">
        <f t="array" ref="AB18">_xlfn.LET(_xlpm.r,$AA18+_xlfn.SEQUENCE(8,1,0,20),AVERAGE(INDEX($K:$K,_xlpm.r)))</f>
        <v>0</v>
      </c>
      <c r="AC18" s="23" cm="1">
        <f t="array" ref="AC18">_xlfn.LET(_xlpm.r,$AA18+_xlfn.SEQUENCE(8,1,0,20),AVERAGE(INDEX($L:$L,_xlpm.r)))</f>
        <v>0</v>
      </c>
      <c r="AD18" s="23" cm="1">
        <f t="array" ref="AD18">_xlfn.LET(_xlpm.r,$AA18+_xlfn.SEQUENCE(8,1,0,20),MAX(INDEX($L:$L,_xlpm.r)))</f>
        <v>0</v>
      </c>
      <c r="AE18" s="15" cm="1">
        <f t="array" ref="AE18">_xlfn.LET(_xlpm.r,$AA18+_xlfn.SEQUENCE(8,1,0,20),SUM(--(INDEX($L:$L,_xlpm.r)&gt;0.005)))</f>
        <v>0</v>
      </c>
      <c r="AF18" s="23" cm="1">
        <f t="array" ref="AF18">_xlfn.LET(_xlpm.r,$AA18+_xlfn.SEQUENCE(8,1,0,20),AVERAGE(INDEX($N:$N,_xlpm.r)))</f>
        <v>0</v>
      </c>
      <c r="AG18" s="15" cm="1">
        <f t="array" ref="AG18">_xlfn.LET(_xlpm.r,$AA18+_xlfn.SEQUENCE(8,1,0,20),MAX(INDEX($N:$N,_xlpm.r)))</f>
        <v>0</v>
      </c>
      <c r="AH18" s="15" cm="1">
        <f t="array" ref="AH18">_xlfn.LET(_xlpm.r,$AA18+_xlfn.SEQUENCE(8,1,0,20),_xlpm.b,2+_xlfn.SEQUENCE(8,1,0,20),SUM(--(INDEX($E:$E,_xlpm.r)&lt;&gt;INDEX($E:$E,_xlpm.b))))</f>
        <v>0</v>
      </c>
      <c r="AI18" s="15" cm="1">
        <f t="array" ref="AI18">_xlfn.LET(_xlpm.r,$AA18+_xlfn.SEQUENCE(8,1,0,20),SUM(--(INDEX($Q:$Q,_xlpm.r)="Yes")))</f>
        <v>0</v>
      </c>
      <c r="AJ18" s="23" cm="1">
        <f t="array" ref="AJ18">_xlfn.LET(_xlpm.r,$AA18+_xlfn.SEQUENCE(8,1,0,20),_xlpm.v,INDEX($P:$P,_xlpm.r),IFERROR(AVERAGE(_xlfn._xlws.FILTER(_xlpm.v,ISNUMBER(_xlpm.v))),"N/A"))</f>
        <v>0</v>
      </c>
      <c r="AK18" s="15" cm="1">
        <f t="array" ref="AK18">_xlfn.LET(_xlpm.r,$AA18+_xlfn.SEQUENCE(8,1,0,20),_xlpm.v,INDEX($P:$P,_xlpm.r),IFERROR(MAX(_xlfn._xlws.FILTER(_xlpm.v,ISNUMBER(_xlpm.v))),"N/A"))</f>
        <v>0</v>
      </c>
      <c r="AL18" s="23" cm="1">
        <f t="array" ref="AL18">_xlfn.LET(_xlpm.r,$AA18+_xlfn.SEQUENCE(8,1,0,20),AVERAGE(INDEX($S:$S,_xlpm.r)))</f>
        <v>0</v>
      </c>
      <c r="AM18" s="15" cm="1">
        <f t="array" ref="AM18">_xlfn.LET(_xlpm.r,$AA18+_xlfn.SEQUENCE(8,1,0,20),MAX(INDEX($S:$S,_xlpm.r)))</f>
        <v>0</v>
      </c>
      <c r="AN18" s="62">
        <f>_xlfn.LET(
_xlpm.k,ROW()-ROW($AN$2),
_xlpm.ScenarioRanks,INDEX($AT:$AT,2+9*_xlpm.k):INDEX($AT:$AT,9+9*_xlpm.k),
CORREL(_xlpm.ScenarioRanks,$AU$2:$AU$9)
)</f>
        <v>0.99999999999999978</v>
      </c>
      <c r="AR18" s="61">
        <v>1</v>
      </c>
      <c r="AT18">
        <f t="shared" si="10"/>
        <v>2</v>
      </c>
    </row>
    <row r="19" spans="1:46" x14ac:dyDescent="0.35">
      <c r="A19" s="94"/>
      <c r="B19" s="111"/>
      <c r="C19" s="45">
        <v>0.45</v>
      </c>
      <c r="D19" s="47">
        <v>4</v>
      </c>
      <c r="E19" s="47" t="s">
        <v>61</v>
      </c>
      <c r="F19" s="47" t="s">
        <v>63</v>
      </c>
      <c r="G19" s="54">
        <v>0</v>
      </c>
      <c r="H19" s="55">
        <v>0</v>
      </c>
      <c r="I19" s="55">
        <f t="shared" si="0"/>
        <v>0</v>
      </c>
      <c r="J19" s="56">
        <v>0</v>
      </c>
      <c r="K19" s="57">
        <f t="shared" si="4"/>
        <v>0</v>
      </c>
      <c r="L19" s="57">
        <f t="shared" si="5"/>
        <v>0</v>
      </c>
      <c r="M19" s="54">
        <f t="shared" si="6"/>
        <v>0</v>
      </c>
      <c r="N19" s="57">
        <f t="shared" si="7"/>
        <v>0</v>
      </c>
      <c r="O19" s="57" t="s">
        <v>63</v>
      </c>
      <c r="P19" s="57" t="s">
        <v>63</v>
      </c>
      <c r="Q19" s="47" t="s">
        <v>63</v>
      </c>
      <c r="R19" s="54">
        <f t="shared" si="8"/>
        <v>0</v>
      </c>
      <c r="S19" s="58">
        <f t="shared" si="9"/>
        <v>0</v>
      </c>
      <c r="Y19" s="94"/>
      <c r="Z19" s="15" cm="1">
        <f t="array" ref="Z19">INDEX($C:$C,$AA19)</f>
        <v>0.55000000000000004</v>
      </c>
      <c r="AA19" s="15">
        <f t="shared" si="1"/>
        <v>20</v>
      </c>
      <c r="AB19" s="23" cm="1">
        <f t="array" ref="AB19">_xlfn.LET(_xlpm.r,$AA19+_xlfn.SEQUENCE(8,1,0,20),AVERAGE(INDEX($K:$K,_xlpm.r)))</f>
        <v>0</v>
      </c>
      <c r="AC19" s="23" cm="1">
        <f t="array" ref="AC19">_xlfn.LET(_xlpm.r,$AA19+_xlfn.SEQUENCE(8,1,0,20),AVERAGE(INDEX($L:$L,_xlpm.r)))</f>
        <v>0</v>
      </c>
      <c r="AD19" s="23" cm="1">
        <f t="array" ref="AD19">_xlfn.LET(_xlpm.r,$AA19+_xlfn.SEQUENCE(8,1,0,20),MAX(INDEX($L:$L,_xlpm.r)))</f>
        <v>0</v>
      </c>
      <c r="AE19" s="15" cm="1">
        <f t="array" ref="AE19">_xlfn.LET(_xlpm.r,$AA19+_xlfn.SEQUENCE(8,1,0,20),SUM(--(INDEX($L:$L,_xlpm.r)&gt;0.005)))</f>
        <v>0</v>
      </c>
      <c r="AF19" s="23" cm="1">
        <f t="array" ref="AF19">_xlfn.LET(_xlpm.r,$AA19+_xlfn.SEQUENCE(8,1,0,20),AVERAGE(INDEX($N:$N,_xlpm.r)))</f>
        <v>0</v>
      </c>
      <c r="AG19" s="15" cm="1">
        <f t="array" ref="AG19">_xlfn.LET(_xlpm.r,$AA19+_xlfn.SEQUENCE(8,1,0,20),MAX(INDEX($N:$N,_xlpm.r)))</f>
        <v>0</v>
      </c>
      <c r="AH19" s="15" cm="1">
        <f t="array" ref="AH19">_xlfn.LET(_xlpm.r,$AA19+_xlfn.SEQUENCE(8,1,0,20),_xlpm.b,2+_xlfn.SEQUENCE(8,1,0,20),SUM(--(INDEX($E:$E,_xlpm.r)&lt;&gt;INDEX($E:$E,_xlpm.b))))</f>
        <v>0</v>
      </c>
      <c r="AI19" s="15" cm="1">
        <f t="array" ref="AI19">_xlfn.LET(_xlpm.r,$AA19+_xlfn.SEQUENCE(8,1,0,20),SUM(--(INDEX($Q:$Q,_xlpm.r)="Yes")))</f>
        <v>0</v>
      </c>
      <c r="AJ19" s="23" cm="1">
        <f t="array" ref="AJ19">_xlfn.LET(_xlpm.r,$AA19+_xlfn.SEQUENCE(8,1,0,20),_xlpm.v,INDEX($P:$P,_xlpm.r),IFERROR(AVERAGE(_xlfn._xlws.FILTER(_xlpm.v,ISNUMBER(_xlpm.v))),"N/A"))</f>
        <v>0</v>
      </c>
      <c r="AK19" s="15" cm="1">
        <f t="array" ref="AK19">_xlfn.LET(_xlpm.r,$AA19+_xlfn.SEQUENCE(8,1,0,20),_xlpm.v,INDEX($P:$P,_xlpm.r),IFERROR(MAX(_xlfn._xlws.FILTER(_xlpm.v,ISNUMBER(_xlpm.v))),"N/A"))</f>
        <v>0</v>
      </c>
      <c r="AL19" s="23" cm="1">
        <f t="array" ref="AL19">_xlfn.LET(_xlpm.r,$AA19+_xlfn.SEQUENCE(8,1,0,20),AVERAGE(INDEX($S:$S,_xlpm.r)))</f>
        <v>0</v>
      </c>
      <c r="AM19" s="15" cm="1">
        <f t="array" ref="AM19">_xlfn.LET(_xlpm.r,$AA19+_xlfn.SEQUENCE(8,1,0,20),MAX(INDEX($S:$S,_xlpm.r)))</f>
        <v>0</v>
      </c>
      <c r="AN19" s="62">
        <f>_xlfn.LET(
_xlpm.k,ROW()-ROW($AN$2),
_xlpm.ScenarioRanks,INDEX($AT:$AT,2+9*_xlpm.k):INDEX($AT:$AT,9+9*_xlpm.k),
CORREL(_xlpm.ScenarioRanks,$AU$2:$AU$9)
)</f>
        <v>0.99999999999999978</v>
      </c>
    </row>
    <row r="20" spans="1:46" ht="15" thickBot="1" x14ac:dyDescent="0.4">
      <c r="A20" s="94"/>
      <c r="B20" s="111"/>
      <c r="C20" s="45">
        <v>0.55000000000000004</v>
      </c>
      <c r="D20" s="47">
        <v>4</v>
      </c>
      <c r="E20" s="47" t="s">
        <v>61</v>
      </c>
      <c r="F20" s="47" t="s">
        <v>63</v>
      </c>
      <c r="G20" s="54">
        <v>0</v>
      </c>
      <c r="H20" s="55">
        <v>0</v>
      </c>
      <c r="I20" s="55">
        <f t="shared" si="0"/>
        <v>0</v>
      </c>
      <c r="J20" s="56">
        <v>0</v>
      </c>
      <c r="K20" s="57">
        <f t="shared" si="4"/>
        <v>0</v>
      </c>
      <c r="L20" s="57">
        <f t="shared" si="5"/>
        <v>0</v>
      </c>
      <c r="M20" s="54">
        <f t="shared" si="6"/>
        <v>0</v>
      </c>
      <c r="N20" s="57">
        <f t="shared" si="7"/>
        <v>0</v>
      </c>
      <c r="O20" s="57" t="s">
        <v>63</v>
      </c>
      <c r="P20" s="57" t="s">
        <v>63</v>
      </c>
      <c r="Q20" s="47" t="s">
        <v>63</v>
      </c>
      <c r="R20" s="54">
        <f t="shared" si="8"/>
        <v>0</v>
      </c>
      <c r="S20" s="58">
        <f t="shared" si="9"/>
        <v>0</v>
      </c>
      <c r="Y20" s="95"/>
      <c r="Z20" s="19" cm="1">
        <f t="array" ref="Z20">INDEX($C:$C,$AA20)</f>
        <v>0.65</v>
      </c>
      <c r="AA20" s="19">
        <f t="shared" si="1"/>
        <v>21</v>
      </c>
      <c r="AB20" s="28" cm="1">
        <f t="array" ref="AB20">_xlfn.LET(_xlpm.r,$AA20+_xlfn.SEQUENCE(8,1,0,20),AVERAGE(INDEX($K:$K,_xlpm.r)))</f>
        <v>0</v>
      </c>
      <c r="AC20" s="28" cm="1">
        <f t="array" ref="AC20">_xlfn.LET(_xlpm.r,$AA20+_xlfn.SEQUENCE(8,1,0,20),AVERAGE(INDEX($L:$L,_xlpm.r)))</f>
        <v>0</v>
      </c>
      <c r="AD20" s="28" cm="1">
        <f t="array" ref="AD20">_xlfn.LET(_xlpm.r,$AA20+_xlfn.SEQUENCE(8,1,0,20),MAX(INDEX($L:$L,_xlpm.r)))</f>
        <v>0</v>
      </c>
      <c r="AE20" s="19" cm="1">
        <f t="array" ref="AE20">_xlfn.LET(_xlpm.r,$AA20+_xlfn.SEQUENCE(8,1,0,20),SUM(--(INDEX($L:$L,_xlpm.r)&gt;0.005)))</f>
        <v>0</v>
      </c>
      <c r="AF20" s="28" cm="1">
        <f t="array" ref="AF20">_xlfn.LET(_xlpm.r,$AA20+_xlfn.SEQUENCE(8,1,0,20),AVERAGE(INDEX($N:$N,_xlpm.r)))</f>
        <v>0</v>
      </c>
      <c r="AG20" s="19" cm="1">
        <f t="array" ref="AG20">_xlfn.LET(_xlpm.r,$AA20+_xlfn.SEQUENCE(8,1,0,20),MAX(INDEX($N:$N,_xlpm.r)))</f>
        <v>0</v>
      </c>
      <c r="AH20" s="19" cm="1">
        <f t="array" ref="AH20">_xlfn.LET(_xlpm.r,$AA20+_xlfn.SEQUENCE(8,1,0,20),_xlpm.b,2+_xlfn.SEQUENCE(8,1,0,20),SUM(--(INDEX($E:$E,_xlpm.r)&lt;&gt;INDEX($E:$E,_xlpm.b))))</f>
        <v>0</v>
      </c>
      <c r="AI20" s="19" cm="1">
        <f t="array" ref="AI20">_xlfn.LET(_xlpm.r,$AA20+_xlfn.SEQUENCE(8,1,0,20),SUM(--(INDEX($Q:$Q,_xlpm.r)="Yes")))</f>
        <v>0</v>
      </c>
      <c r="AJ20" s="28" cm="1">
        <f t="array" ref="AJ20">_xlfn.LET(_xlpm.r,$AA20+_xlfn.SEQUENCE(8,1,0,20),_xlpm.v,INDEX($P:$P,_xlpm.r),IFERROR(AVERAGE(_xlfn._xlws.FILTER(_xlpm.v,ISNUMBER(_xlpm.v))),"N/A"))</f>
        <v>0</v>
      </c>
      <c r="AK20" s="19" cm="1">
        <f t="array" ref="AK20">_xlfn.LET(_xlpm.r,$AA20+_xlfn.SEQUENCE(8,1,0,20),_xlpm.v,INDEX($P:$P,_xlpm.r),IFERROR(MAX(_xlfn._xlws.FILTER(_xlpm.v,ISNUMBER(_xlpm.v))),"N/A"))</f>
        <v>0</v>
      </c>
      <c r="AL20" s="28" cm="1">
        <f t="array" ref="AL20">_xlfn.LET(_xlpm.r,$AA20+_xlfn.SEQUENCE(8,1,0,20),AVERAGE(INDEX($S:$S,_xlpm.r)))</f>
        <v>0</v>
      </c>
      <c r="AM20" s="19" cm="1">
        <f t="array" ref="AM20">_xlfn.LET(_xlpm.r,$AA20+_xlfn.SEQUENCE(8,1,0,20),MAX(INDEX($S:$S,_xlpm.r)))</f>
        <v>0</v>
      </c>
      <c r="AN20" s="63">
        <f>_xlfn.LET(
_xlpm.k,ROW()-ROW($AN$2),
_xlpm.ScenarioRanks,INDEX($AT:$AT,2+9*_xlpm.k):INDEX($AT:$AT,9+9*_xlpm.k),
CORREL(_xlpm.ScenarioRanks,$AU$2:$AU$9)
)</f>
        <v>0.99999999999999978</v>
      </c>
      <c r="AR20" s="61" cm="1">
        <f t="array" ref="AR20:AR27">INDEX($J:$J,5+20*_xlfn.SEQUENCE(8,1,0,1))</f>
        <v>0</v>
      </c>
      <c r="AT20">
        <f>_xlfn.RANK.AVG(AR20,$AR$20:$AR$27,0)</f>
        <v>8</v>
      </c>
    </row>
    <row r="21" spans="1:46" ht="15" thickBot="1" x14ac:dyDescent="0.4">
      <c r="A21" s="94"/>
      <c r="B21" s="112"/>
      <c r="C21" s="45">
        <v>0.65</v>
      </c>
      <c r="D21" s="47">
        <v>4</v>
      </c>
      <c r="E21" s="47" t="s">
        <v>61</v>
      </c>
      <c r="F21" s="47" t="s">
        <v>63</v>
      </c>
      <c r="G21" s="54">
        <v>0</v>
      </c>
      <c r="H21" s="55">
        <v>0</v>
      </c>
      <c r="I21" s="55">
        <f t="shared" si="0"/>
        <v>0</v>
      </c>
      <c r="J21" s="56">
        <v>0</v>
      </c>
      <c r="K21" s="57">
        <f t="shared" si="4"/>
        <v>0</v>
      </c>
      <c r="L21" s="57">
        <f t="shared" si="5"/>
        <v>0</v>
      </c>
      <c r="M21" s="54">
        <f t="shared" si="6"/>
        <v>0</v>
      </c>
      <c r="N21" s="57">
        <f t="shared" si="7"/>
        <v>0</v>
      </c>
      <c r="O21" s="57" t="s">
        <v>63</v>
      </c>
      <c r="P21" s="57" t="s">
        <v>63</v>
      </c>
      <c r="Q21" s="47" t="s">
        <v>63</v>
      </c>
      <c r="R21" s="54">
        <f t="shared" si="8"/>
        <v>0</v>
      </c>
      <c r="S21" s="58">
        <f t="shared" si="9"/>
        <v>0</v>
      </c>
      <c r="Y21" s="109" t="s">
        <v>158</v>
      </c>
      <c r="Z21" s="109"/>
      <c r="AA21" s="109"/>
      <c r="AB21" s="109"/>
      <c r="AC21" s="109"/>
      <c r="AD21" s="109"/>
      <c r="AE21" s="109"/>
      <c r="AF21" s="109"/>
      <c r="AR21" s="61">
        <v>1</v>
      </c>
      <c r="AT21">
        <f t="shared" ref="AT21:AT27" si="11">_xlfn.RANK.AVG(AR21,$AR$20:$AR$27,0)</f>
        <v>2</v>
      </c>
    </row>
    <row r="22" spans="1:46" ht="33.5" customHeight="1" x14ac:dyDescent="0.35">
      <c r="A22" s="94" t="s">
        <v>46</v>
      </c>
      <c r="B22" s="96" t="s">
        <v>52</v>
      </c>
      <c r="C22" s="96"/>
      <c r="D22" s="46">
        <v>5</v>
      </c>
      <c r="E22" s="46" t="s">
        <v>62</v>
      </c>
      <c r="F22" s="46">
        <v>-29.36</v>
      </c>
      <c r="G22" s="49">
        <v>7</v>
      </c>
      <c r="H22" s="50">
        <v>28</v>
      </c>
      <c r="I22" s="50">
        <f t="shared" si="0"/>
        <v>35</v>
      </c>
      <c r="J22" s="51">
        <v>1</v>
      </c>
      <c r="K22" s="52" t="s">
        <v>38</v>
      </c>
      <c r="L22" s="52" t="s">
        <v>38</v>
      </c>
      <c r="M22" s="52" t="s">
        <v>38</v>
      </c>
      <c r="N22" s="52" t="s">
        <v>38</v>
      </c>
      <c r="O22" s="52" t="s">
        <v>38</v>
      </c>
      <c r="P22" s="52" t="s">
        <v>38</v>
      </c>
      <c r="Q22" s="52" t="s">
        <v>38</v>
      </c>
      <c r="R22" s="52" t="s">
        <v>38</v>
      </c>
      <c r="S22" s="52" t="s">
        <v>38</v>
      </c>
      <c r="Y22" s="24" t="s">
        <v>49</v>
      </c>
      <c r="Z22" s="25" t="s">
        <v>139</v>
      </c>
      <c r="AA22" s="26"/>
      <c r="AB22" s="25" t="s">
        <v>138</v>
      </c>
      <c r="AC22" s="25" t="s">
        <v>157</v>
      </c>
      <c r="AD22" s="25" t="s">
        <v>140</v>
      </c>
      <c r="AE22" s="25" t="s">
        <v>141</v>
      </c>
      <c r="AF22" s="27" t="s">
        <v>142</v>
      </c>
      <c r="AR22" s="61">
        <v>0.6008</v>
      </c>
      <c r="AT22">
        <f t="shared" si="11"/>
        <v>6</v>
      </c>
    </row>
    <row r="23" spans="1:46" x14ac:dyDescent="0.35">
      <c r="A23" s="94"/>
      <c r="B23" s="110" t="s">
        <v>50</v>
      </c>
      <c r="C23" s="47">
        <v>0</v>
      </c>
      <c r="D23" s="47">
        <v>7</v>
      </c>
      <c r="E23" s="47" t="s">
        <v>62</v>
      </c>
      <c r="F23" s="47">
        <v>-29.36</v>
      </c>
      <c r="G23" s="54">
        <v>7</v>
      </c>
      <c r="H23" s="55">
        <v>28</v>
      </c>
      <c r="I23" s="55">
        <f t="shared" si="0"/>
        <v>35</v>
      </c>
      <c r="J23" s="56">
        <v>1</v>
      </c>
      <c r="K23" s="57">
        <f>(J23-$J$22)*100</f>
        <v>0</v>
      </c>
      <c r="L23" s="57">
        <f t="shared" si="5"/>
        <v>0</v>
      </c>
      <c r="M23" s="54">
        <f>D23-$D$22</f>
        <v>2</v>
      </c>
      <c r="N23" s="57">
        <f t="shared" si="7"/>
        <v>2</v>
      </c>
      <c r="O23" s="57">
        <f>F23-$F$22</f>
        <v>0</v>
      </c>
      <c r="P23" s="57">
        <f t="shared" ref="P23:P67" si="12">ABS(O23)</f>
        <v>0</v>
      </c>
      <c r="Q23" s="57" t="str">
        <f>IF(P23=0,"No","Yes")</f>
        <v>No</v>
      </c>
      <c r="R23" s="54">
        <f>I23-$I$22</f>
        <v>0</v>
      </c>
      <c r="S23" s="58">
        <f t="shared" si="9"/>
        <v>0</v>
      </c>
      <c r="Y23" s="74" t="s">
        <v>50</v>
      </c>
      <c r="Z23" s="76">
        <v>0.15</v>
      </c>
      <c r="AA23" s="76"/>
      <c r="AB23" s="76" t="s">
        <v>174</v>
      </c>
      <c r="AC23" s="76" t="s">
        <v>174</v>
      </c>
      <c r="AD23" s="85">
        <v>0</v>
      </c>
      <c r="AE23" s="85">
        <v>0</v>
      </c>
      <c r="AF23" s="86">
        <v>1</v>
      </c>
      <c r="AR23" s="61">
        <v>0.7681</v>
      </c>
      <c r="AT23">
        <f t="shared" si="11"/>
        <v>5</v>
      </c>
    </row>
    <row r="24" spans="1:46" ht="29" x14ac:dyDescent="0.35">
      <c r="A24" s="94"/>
      <c r="B24" s="111"/>
      <c r="C24" s="39">
        <v>0.05</v>
      </c>
      <c r="D24" s="47">
        <v>5</v>
      </c>
      <c r="E24" s="47" t="s">
        <v>62</v>
      </c>
      <c r="F24" s="47">
        <v>-29.36</v>
      </c>
      <c r="G24" s="54">
        <v>7</v>
      </c>
      <c r="H24" s="55">
        <v>28</v>
      </c>
      <c r="I24" s="55">
        <f t="shared" si="0"/>
        <v>35</v>
      </c>
      <c r="J24" s="56">
        <v>1</v>
      </c>
      <c r="K24" s="57">
        <f t="shared" ref="K24:K41" si="13">(J24-$J$22)*100</f>
        <v>0</v>
      </c>
      <c r="L24" s="57">
        <f t="shared" si="5"/>
        <v>0</v>
      </c>
      <c r="M24" s="54">
        <f t="shared" ref="M24:M41" si="14">D24-$D$22</f>
        <v>0</v>
      </c>
      <c r="N24" s="57">
        <f t="shared" si="7"/>
        <v>0</v>
      </c>
      <c r="O24" s="57">
        <f t="shared" ref="O24:O41" si="15">F24-$F$22</f>
        <v>0</v>
      </c>
      <c r="P24" s="57">
        <f t="shared" si="12"/>
        <v>0</v>
      </c>
      <c r="Q24" s="57" t="str">
        <f t="shared" ref="Q24:Q87" si="16">IF(P24=0,"No","Yes")</f>
        <v>No</v>
      </c>
      <c r="R24" s="54">
        <f t="shared" ref="R24:R41" si="17">I24-$I$22</f>
        <v>0</v>
      </c>
      <c r="S24" s="58">
        <f t="shared" si="9"/>
        <v>0</v>
      </c>
      <c r="Y24" s="75" t="s">
        <v>137</v>
      </c>
      <c r="Z24" s="76">
        <v>0.15</v>
      </c>
      <c r="AA24" s="76"/>
      <c r="AB24" s="76" t="s">
        <v>174</v>
      </c>
      <c r="AC24" s="76" t="s">
        <v>177</v>
      </c>
      <c r="AD24" s="76">
        <v>12.46</v>
      </c>
      <c r="AE24" s="76">
        <v>41.95</v>
      </c>
      <c r="AF24" s="77">
        <v>0.85</v>
      </c>
      <c r="AR24" s="61">
        <v>0.51200000000000001</v>
      </c>
      <c r="AT24">
        <f t="shared" si="11"/>
        <v>7</v>
      </c>
    </row>
    <row r="25" spans="1:46" ht="15" thickBot="1" x14ac:dyDescent="0.4">
      <c r="A25" s="94"/>
      <c r="B25" s="111"/>
      <c r="C25" s="39">
        <v>0.25</v>
      </c>
      <c r="D25" s="47">
        <v>5</v>
      </c>
      <c r="E25" s="47" t="s">
        <v>62</v>
      </c>
      <c r="F25" s="47">
        <v>-29.36</v>
      </c>
      <c r="G25" s="54">
        <v>7</v>
      </c>
      <c r="H25" s="55">
        <v>28</v>
      </c>
      <c r="I25" s="55">
        <f t="shared" si="0"/>
        <v>35</v>
      </c>
      <c r="J25" s="56">
        <v>1</v>
      </c>
      <c r="K25" s="57">
        <f t="shared" si="13"/>
        <v>0</v>
      </c>
      <c r="L25" s="57">
        <f t="shared" si="5"/>
        <v>0</v>
      </c>
      <c r="M25" s="54">
        <f t="shared" si="14"/>
        <v>0</v>
      </c>
      <c r="N25" s="57">
        <f t="shared" si="7"/>
        <v>0</v>
      </c>
      <c r="O25" s="57">
        <f t="shared" si="15"/>
        <v>0</v>
      </c>
      <c r="P25" s="57">
        <f t="shared" si="12"/>
        <v>0</v>
      </c>
      <c r="Q25" s="57" t="str">
        <f t="shared" si="16"/>
        <v>No</v>
      </c>
      <c r="R25" s="54">
        <f t="shared" si="17"/>
        <v>0</v>
      </c>
      <c r="S25" s="58">
        <f t="shared" si="9"/>
        <v>0</v>
      </c>
      <c r="Y25" s="31" t="s">
        <v>51</v>
      </c>
      <c r="Z25" s="78">
        <v>0.35</v>
      </c>
      <c r="AA25" s="78"/>
      <c r="AB25" s="78" t="s">
        <v>175</v>
      </c>
      <c r="AC25" s="78" t="s">
        <v>176</v>
      </c>
      <c r="AD25" s="78">
        <v>51.22</v>
      </c>
      <c r="AE25" s="78">
        <v>98.11</v>
      </c>
      <c r="AF25" s="79">
        <v>0.54</v>
      </c>
      <c r="AR25" s="61">
        <v>0.98640000000000005</v>
      </c>
      <c r="AT25">
        <f t="shared" si="11"/>
        <v>4</v>
      </c>
    </row>
    <row r="26" spans="1:46" x14ac:dyDescent="0.35">
      <c r="A26" s="94"/>
      <c r="B26" s="111"/>
      <c r="C26" s="39">
        <v>0.35</v>
      </c>
      <c r="D26" s="47">
        <v>5</v>
      </c>
      <c r="E26" s="47" t="s">
        <v>62</v>
      </c>
      <c r="F26" s="47">
        <v>-29.36</v>
      </c>
      <c r="G26" s="54">
        <v>7</v>
      </c>
      <c r="H26" s="55">
        <v>28</v>
      </c>
      <c r="I26" s="55">
        <f t="shared" si="0"/>
        <v>35</v>
      </c>
      <c r="J26" s="56">
        <v>1</v>
      </c>
      <c r="K26" s="57">
        <f t="shared" si="13"/>
        <v>0</v>
      </c>
      <c r="L26" s="57">
        <f t="shared" si="5"/>
        <v>0</v>
      </c>
      <c r="M26" s="54">
        <f t="shared" si="14"/>
        <v>0</v>
      </c>
      <c r="N26" s="57">
        <f t="shared" si="7"/>
        <v>0</v>
      </c>
      <c r="O26" s="57">
        <f t="shared" si="15"/>
        <v>0</v>
      </c>
      <c r="P26" s="57">
        <f t="shared" si="12"/>
        <v>0</v>
      </c>
      <c r="Q26" s="57" t="str">
        <f t="shared" si="16"/>
        <v>No</v>
      </c>
      <c r="R26" s="54">
        <f t="shared" si="17"/>
        <v>0</v>
      </c>
      <c r="S26" s="58">
        <f t="shared" si="9"/>
        <v>0</v>
      </c>
      <c r="AR26" s="61">
        <v>1</v>
      </c>
      <c r="AT26">
        <f t="shared" si="11"/>
        <v>2</v>
      </c>
    </row>
    <row r="27" spans="1:46" x14ac:dyDescent="0.35">
      <c r="A27" s="94"/>
      <c r="B27" s="111"/>
      <c r="C27" s="44">
        <v>0.45</v>
      </c>
      <c r="D27" s="47">
        <v>3</v>
      </c>
      <c r="E27" s="47" t="s">
        <v>62</v>
      </c>
      <c r="F27" s="47">
        <v>-29.36</v>
      </c>
      <c r="G27" s="54">
        <v>7</v>
      </c>
      <c r="H27" s="55">
        <v>28</v>
      </c>
      <c r="I27" s="55">
        <f t="shared" si="0"/>
        <v>35</v>
      </c>
      <c r="J27" s="56">
        <v>1</v>
      </c>
      <c r="K27" s="57">
        <f t="shared" si="13"/>
        <v>0</v>
      </c>
      <c r="L27" s="57">
        <f t="shared" si="5"/>
        <v>0</v>
      </c>
      <c r="M27" s="54">
        <f t="shared" si="14"/>
        <v>-2</v>
      </c>
      <c r="N27" s="57">
        <f t="shared" si="7"/>
        <v>2</v>
      </c>
      <c r="O27" s="57">
        <f t="shared" si="15"/>
        <v>0</v>
      </c>
      <c r="P27" s="57">
        <f t="shared" si="12"/>
        <v>0</v>
      </c>
      <c r="Q27" s="57" t="str">
        <f t="shared" si="16"/>
        <v>No</v>
      </c>
      <c r="R27" s="54">
        <f t="shared" si="17"/>
        <v>0</v>
      </c>
      <c r="S27" s="58">
        <f t="shared" si="9"/>
        <v>0</v>
      </c>
      <c r="Y27" s="108" t="s">
        <v>159</v>
      </c>
      <c r="Z27" s="93"/>
      <c r="AA27" s="93"/>
      <c r="AB27" s="93"/>
      <c r="AC27" s="93"/>
      <c r="AD27" s="93"/>
      <c r="AE27" s="93"/>
      <c r="AF27" s="93"/>
      <c r="AR27" s="61">
        <v>1</v>
      </c>
      <c r="AT27">
        <f t="shared" si="11"/>
        <v>2</v>
      </c>
    </row>
    <row r="28" spans="1:46" ht="64.5" customHeight="1" x14ac:dyDescent="0.35">
      <c r="A28" s="94"/>
      <c r="B28" s="112"/>
      <c r="C28" s="44">
        <v>0.55000000000000004</v>
      </c>
      <c r="D28" s="47">
        <v>3</v>
      </c>
      <c r="E28" s="47" t="s">
        <v>62</v>
      </c>
      <c r="F28" s="47">
        <v>-29.36</v>
      </c>
      <c r="G28" s="54">
        <v>7</v>
      </c>
      <c r="H28" s="55">
        <v>28</v>
      </c>
      <c r="I28" s="55">
        <f t="shared" si="0"/>
        <v>35</v>
      </c>
      <c r="J28" s="56">
        <v>1</v>
      </c>
      <c r="K28" s="57">
        <f t="shared" si="13"/>
        <v>0</v>
      </c>
      <c r="L28" s="57">
        <f t="shared" si="5"/>
        <v>0</v>
      </c>
      <c r="M28" s="54">
        <f t="shared" si="14"/>
        <v>-2</v>
      </c>
      <c r="N28" s="57">
        <f t="shared" si="7"/>
        <v>2</v>
      </c>
      <c r="O28" s="57">
        <f t="shared" si="15"/>
        <v>0</v>
      </c>
      <c r="P28" s="57">
        <f t="shared" si="12"/>
        <v>0</v>
      </c>
      <c r="Q28" s="57" t="str">
        <f t="shared" si="16"/>
        <v>No</v>
      </c>
      <c r="R28" s="54">
        <f t="shared" si="17"/>
        <v>0</v>
      </c>
      <c r="S28" s="58">
        <f t="shared" si="9"/>
        <v>0</v>
      </c>
      <c r="Y28" s="93"/>
      <c r="Z28" s="93"/>
      <c r="AA28" s="93"/>
      <c r="AB28" s="93"/>
      <c r="AC28" s="93"/>
      <c r="AD28" s="93"/>
      <c r="AE28" s="93"/>
      <c r="AF28" s="93"/>
    </row>
    <row r="29" spans="1:46" x14ac:dyDescent="0.35">
      <c r="A29" s="94"/>
      <c r="B29" s="113" t="s">
        <v>66</v>
      </c>
      <c r="C29" s="44">
        <v>0</v>
      </c>
      <c r="D29" s="47">
        <v>5</v>
      </c>
      <c r="E29" s="47" t="s">
        <v>62</v>
      </c>
      <c r="F29" s="47">
        <v>-29.36</v>
      </c>
      <c r="G29" s="54">
        <v>0</v>
      </c>
      <c r="H29" s="55">
        <v>28</v>
      </c>
      <c r="I29" s="55">
        <f t="shared" si="0"/>
        <v>28</v>
      </c>
      <c r="J29" s="56">
        <v>0.79979999999999996</v>
      </c>
      <c r="K29" s="57">
        <f t="shared" si="13"/>
        <v>-20.020000000000003</v>
      </c>
      <c r="L29" s="57">
        <f t="shared" si="5"/>
        <v>20.020000000000003</v>
      </c>
      <c r="M29" s="54">
        <f t="shared" si="14"/>
        <v>0</v>
      </c>
      <c r="N29" s="57">
        <f t="shared" si="7"/>
        <v>0</v>
      </c>
      <c r="O29" s="57">
        <f t="shared" si="15"/>
        <v>0</v>
      </c>
      <c r="P29" s="57">
        <f t="shared" si="12"/>
        <v>0</v>
      </c>
      <c r="Q29" s="57" t="str">
        <f t="shared" si="16"/>
        <v>No</v>
      </c>
      <c r="R29" s="54">
        <f t="shared" si="17"/>
        <v>-7</v>
      </c>
      <c r="S29" s="58">
        <f t="shared" si="9"/>
        <v>7</v>
      </c>
      <c r="AR29" s="61" cm="1">
        <f t="array" ref="AR29:AR36">INDEX($J:$J,6+20*_xlfn.SEQUENCE(8,1,0,1))</f>
        <v>0</v>
      </c>
      <c r="AT29">
        <f>_xlfn.RANK.AVG(AR29,$AR$29:$AR$36,0)</f>
        <v>8</v>
      </c>
    </row>
    <row r="30" spans="1:46" x14ac:dyDescent="0.35">
      <c r="A30" s="94"/>
      <c r="B30" s="111"/>
      <c r="C30" s="44">
        <v>0.05</v>
      </c>
      <c r="D30" s="47">
        <v>5</v>
      </c>
      <c r="E30" s="47" t="s">
        <v>62</v>
      </c>
      <c r="F30" s="47">
        <v>-29.36</v>
      </c>
      <c r="G30" s="54">
        <v>7</v>
      </c>
      <c r="H30" s="55">
        <v>28</v>
      </c>
      <c r="I30" s="55">
        <f t="shared" si="0"/>
        <v>35</v>
      </c>
      <c r="J30" s="56">
        <v>1</v>
      </c>
      <c r="K30" s="57">
        <f t="shared" si="13"/>
        <v>0</v>
      </c>
      <c r="L30" s="57">
        <f t="shared" si="5"/>
        <v>0</v>
      </c>
      <c r="M30" s="54">
        <f t="shared" si="14"/>
        <v>0</v>
      </c>
      <c r="N30" s="57">
        <f t="shared" si="7"/>
        <v>0</v>
      </c>
      <c r="O30" s="57">
        <f t="shared" si="15"/>
        <v>0</v>
      </c>
      <c r="P30" s="57">
        <f t="shared" si="12"/>
        <v>0</v>
      </c>
      <c r="Q30" s="57" t="str">
        <f t="shared" si="16"/>
        <v>No</v>
      </c>
      <c r="R30" s="54">
        <f t="shared" si="17"/>
        <v>0</v>
      </c>
      <c r="S30" s="58">
        <f t="shared" si="9"/>
        <v>0</v>
      </c>
      <c r="AR30" s="61">
        <v>1</v>
      </c>
      <c r="AT30">
        <f t="shared" ref="AT30:AT36" si="18">_xlfn.RANK.AVG(AR30,$AR$29:$AR$36,0)</f>
        <v>2</v>
      </c>
    </row>
    <row r="31" spans="1:46" x14ac:dyDescent="0.35">
      <c r="A31" s="94"/>
      <c r="B31" s="111"/>
      <c r="C31" s="44">
        <v>0.25</v>
      </c>
      <c r="D31" s="47">
        <v>5</v>
      </c>
      <c r="E31" s="47" t="s">
        <v>62</v>
      </c>
      <c r="F31" s="47">
        <v>-29.36</v>
      </c>
      <c r="G31" s="54">
        <v>7</v>
      </c>
      <c r="H31" s="55">
        <v>28</v>
      </c>
      <c r="I31" s="55">
        <f t="shared" si="0"/>
        <v>35</v>
      </c>
      <c r="J31" s="56">
        <v>1</v>
      </c>
      <c r="K31" s="57">
        <f t="shared" si="13"/>
        <v>0</v>
      </c>
      <c r="L31" s="57">
        <f t="shared" si="5"/>
        <v>0</v>
      </c>
      <c r="M31" s="54">
        <f t="shared" si="14"/>
        <v>0</v>
      </c>
      <c r="N31" s="57">
        <f t="shared" si="7"/>
        <v>0</v>
      </c>
      <c r="O31" s="57">
        <f t="shared" si="15"/>
        <v>0</v>
      </c>
      <c r="P31" s="57">
        <f t="shared" si="12"/>
        <v>0</v>
      </c>
      <c r="Q31" s="57" t="str">
        <f t="shared" si="16"/>
        <v>No</v>
      </c>
      <c r="R31" s="54">
        <f t="shared" si="17"/>
        <v>0</v>
      </c>
      <c r="S31" s="58">
        <f t="shared" si="9"/>
        <v>0</v>
      </c>
      <c r="AR31" s="61">
        <v>0.6008</v>
      </c>
      <c r="AT31">
        <f t="shared" si="18"/>
        <v>6</v>
      </c>
    </row>
    <row r="32" spans="1:46" x14ac:dyDescent="0.35">
      <c r="A32" s="94"/>
      <c r="B32" s="111"/>
      <c r="C32" s="44">
        <v>0.35</v>
      </c>
      <c r="D32" s="47">
        <v>5</v>
      </c>
      <c r="E32" s="47" t="s">
        <v>62</v>
      </c>
      <c r="F32" s="47">
        <v>-29.36</v>
      </c>
      <c r="G32" s="54">
        <v>7</v>
      </c>
      <c r="H32" s="55">
        <v>28</v>
      </c>
      <c r="I32" s="55">
        <f t="shared" si="0"/>
        <v>35</v>
      </c>
      <c r="J32" s="56">
        <v>1</v>
      </c>
      <c r="K32" s="57">
        <f t="shared" si="13"/>
        <v>0</v>
      </c>
      <c r="L32" s="57">
        <f t="shared" si="5"/>
        <v>0</v>
      </c>
      <c r="M32" s="54">
        <f t="shared" si="14"/>
        <v>0</v>
      </c>
      <c r="N32" s="57">
        <f t="shared" si="7"/>
        <v>0</v>
      </c>
      <c r="O32" s="57">
        <f t="shared" si="15"/>
        <v>0</v>
      </c>
      <c r="P32" s="57">
        <f t="shared" si="12"/>
        <v>0</v>
      </c>
      <c r="Q32" s="57" t="str">
        <f t="shared" si="16"/>
        <v>No</v>
      </c>
      <c r="R32" s="54">
        <f t="shared" si="17"/>
        <v>0</v>
      </c>
      <c r="S32" s="58">
        <f t="shared" si="9"/>
        <v>0</v>
      </c>
      <c r="AR32" s="61">
        <v>0.7681</v>
      </c>
      <c r="AT32">
        <f t="shared" si="18"/>
        <v>5</v>
      </c>
    </row>
    <row r="33" spans="1:46" x14ac:dyDescent="0.35">
      <c r="A33" s="94"/>
      <c r="B33" s="111"/>
      <c r="C33" s="44">
        <v>0.45</v>
      </c>
      <c r="D33" s="47">
        <v>5</v>
      </c>
      <c r="E33" s="47" t="s">
        <v>62</v>
      </c>
      <c r="F33" s="47">
        <v>-29.36</v>
      </c>
      <c r="G33" s="54">
        <v>7</v>
      </c>
      <c r="H33" s="55">
        <v>28</v>
      </c>
      <c r="I33" s="55">
        <f t="shared" si="0"/>
        <v>35</v>
      </c>
      <c r="J33" s="56">
        <v>1</v>
      </c>
      <c r="K33" s="57">
        <f t="shared" si="13"/>
        <v>0</v>
      </c>
      <c r="L33" s="57">
        <f t="shared" si="5"/>
        <v>0</v>
      </c>
      <c r="M33" s="54">
        <f t="shared" si="14"/>
        <v>0</v>
      </c>
      <c r="N33" s="57">
        <f t="shared" si="7"/>
        <v>0</v>
      </c>
      <c r="O33" s="57">
        <f t="shared" si="15"/>
        <v>0</v>
      </c>
      <c r="P33" s="57">
        <f t="shared" si="12"/>
        <v>0</v>
      </c>
      <c r="Q33" s="57" t="str">
        <f t="shared" si="16"/>
        <v>No</v>
      </c>
      <c r="R33" s="54">
        <f t="shared" si="17"/>
        <v>0</v>
      </c>
      <c r="S33" s="58">
        <f t="shared" si="9"/>
        <v>0</v>
      </c>
      <c r="AR33" s="61">
        <v>0.51200000000000001</v>
      </c>
      <c r="AT33">
        <f t="shared" si="18"/>
        <v>7</v>
      </c>
    </row>
    <row r="34" spans="1:46" x14ac:dyDescent="0.35">
      <c r="A34" s="94"/>
      <c r="B34" s="112"/>
      <c r="C34" s="44">
        <v>0.55000000000000004</v>
      </c>
      <c r="D34" s="47">
        <v>5</v>
      </c>
      <c r="E34" s="47" t="s">
        <v>62</v>
      </c>
      <c r="F34" s="47">
        <v>-29.36</v>
      </c>
      <c r="G34" s="54">
        <v>7</v>
      </c>
      <c r="H34" s="55">
        <v>28</v>
      </c>
      <c r="I34" s="55">
        <f t="shared" si="0"/>
        <v>35</v>
      </c>
      <c r="J34" s="56">
        <v>1</v>
      </c>
      <c r="K34" s="57">
        <f t="shared" si="13"/>
        <v>0</v>
      </c>
      <c r="L34" s="57">
        <f t="shared" si="5"/>
        <v>0</v>
      </c>
      <c r="M34" s="54">
        <f t="shared" si="14"/>
        <v>0</v>
      </c>
      <c r="N34" s="57">
        <f t="shared" si="7"/>
        <v>0</v>
      </c>
      <c r="O34" s="57">
        <f t="shared" si="15"/>
        <v>0</v>
      </c>
      <c r="P34" s="57">
        <f t="shared" si="12"/>
        <v>0</v>
      </c>
      <c r="Q34" s="57" t="str">
        <f t="shared" si="16"/>
        <v>No</v>
      </c>
      <c r="R34" s="54">
        <f t="shared" si="17"/>
        <v>0</v>
      </c>
      <c r="S34" s="58">
        <f t="shared" si="9"/>
        <v>0</v>
      </c>
      <c r="AR34" s="61">
        <v>0.98640000000000005</v>
      </c>
      <c r="AT34">
        <f t="shared" si="18"/>
        <v>4</v>
      </c>
    </row>
    <row r="35" spans="1:46" x14ac:dyDescent="0.35">
      <c r="A35" s="94"/>
      <c r="B35" s="110" t="s">
        <v>51</v>
      </c>
      <c r="C35" s="44">
        <v>0</v>
      </c>
      <c r="D35" s="47">
        <v>5</v>
      </c>
      <c r="E35" s="47" t="s">
        <v>62</v>
      </c>
      <c r="F35" s="47">
        <v>-29.36</v>
      </c>
      <c r="G35" s="54">
        <v>7</v>
      </c>
      <c r="H35" s="55">
        <v>14</v>
      </c>
      <c r="I35" s="55">
        <f t="shared" si="0"/>
        <v>21</v>
      </c>
      <c r="J35" s="56">
        <v>0.68230000000000002</v>
      </c>
      <c r="K35" s="57">
        <f t="shared" si="13"/>
        <v>-31.77</v>
      </c>
      <c r="L35" s="57">
        <f t="shared" si="5"/>
        <v>31.77</v>
      </c>
      <c r="M35" s="54">
        <f t="shared" si="14"/>
        <v>0</v>
      </c>
      <c r="N35" s="57">
        <f t="shared" si="7"/>
        <v>0</v>
      </c>
      <c r="O35" s="57">
        <f t="shared" si="15"/>
        <v>0</v>
      </c>
      <c r="P35" s="57">
        <f t="shared" si="12"/>
        <v>0</v>
      </c>
      <c r="Q35" s="57" t="str">
        <f t="shared" si="16"/>
        <v>No</v>
      </c>
      <c r="R35" s="54">
        <f t="shared" si="17"/>
        <v>-14</v>
      </c>
      <c r="S35" s="58">
        <f t="shared" si="9"/>
        <v>14</v>
      </c>
      <c r="AR35" s="61">
        <v>1</v>
      </c>
      <c r="AT35">
        <f t="shared" si="18"/>
        <v>2</v>
      </c>
    </row>
    <row r="36" spans="1:46" x14ac:dyDescent="0.35">
      <c r="A36" s="94"/>
      <c r="B36" s="111"/>
      <c r="C36" s="44">
        <v>0.05</v>
      </c>
      <c r="D36" s="47">
        <v>5</v>
      </c>
      <c r="E36" s="47" t="s">
        <v>62</v>
      </c>
      <c r="F36" s="47">
        <v>-29.36</v>
      </c>
      <c r="G36" s="54">
        <v>7</v>
      </c>
      <c r="H36" s="55">
        <v>28</v>
      </c>
      <c r="I36" s="55">
        <f t="shared" si="0"/>
        <v>35</v>
      </c>
      <c r="J36" s="56">
        <v>1</v>
      </c>
      <c r="K36" s="57">
        <f t="shared" si="13"/>
        <v>0</v>
      </c>
      <c r="L36" s="57">
        <f t="shared" si="5"/>
        <v>0</v>
      </c>
      <c r="M36" s="54">
        <f t="shared" si="14"/>
        <v>0</v>
      </c>
      <c r="N36" s="57">
        <f t="shared" si="7"/>
        <v>0</v>
      </c>
      <c r="O36" s="57">
        <f t="shared" si="15"/>
        <v>0</v>
      </c>
      <c r="P36" s="57">
        <f t="shared" si="12"/>
        <v>0</v>
      </c>
      <c r="Q36" s="57" t="str">
        <f t="shared" si="16"/>
        <v>No</v>
      </c>
      <c r="R36" s="54">
        <f t="shared" si="17"/>
        <v>0</v>
      </c>
      <c r="S36" s="58">
        <f t="shared" si="9"/>
        <v>0</v>
      </c>
      <c r="AR36" s="61">
        <v>1</v>
      </c>
      <c r="AT36">
        <f t="shared" si="18"/>
        <v>2</v>
      </c>
    </row>
    <row r="37" spans="1:46" x14ac:dyDescent="0.35">
      <c r="A37" s="94"/>
      <c r="B37" s="111"/>
      <c r="C37" s="44">
        <v>0.15</v>
      </c>
      <c r="D37" s="47">
        <v>5</v>
      </c>
      <c r="E37" s="47" t="s">
        <v>62</v>
      </c>
      <c r="F37" s="47">
        <v>-29.36</v>
      </c>
      <c r="G37" s="54">
        <v>7</v>
      </c>
      <c r="H37" s="55">
        <v>28</v>
      </c>
      <c r="I37" s="55">
        <f t="shared" si="0"/>
        <v>35</v>
      </c>
      <c r="J37" s="56">
        <v>1</v>
      </c>
      <c r="K37" s="57">
        <f t="shared" si="13"/>
        <v>0</v>
      </c>
      <c r="L37" s="57">
        <f t="shared" si="5"/>
        <v>0</v>
      </c>
      <c r="M37" s="54">
        <f t="shared" si="14"/>
        <v>0</v>
      </c>
      <c r="N37" s="57">
        <f t="shared" si="7"/>
        <v>0</v>
      </c>
      <c r="O37" s="57">
        <f t="shared" si="15"/>
        <v>0</v>
      </c>
      <c r="P37" s="57">
        <f t="shared" si="12"/>
        <v>0</v>
      </c>
      <c r="Q37" s="57" t="str">
        <f t="shared" si="16"/>
        <v>No</v>
      </c>
      <c r="R37" s="54">
        <f t="shared" si="17"/>
        <v>0</v>
      </c>
      <c r="S37" s="58">
        <f t="shared" si="9"/>
        <v>0</v>
      </c>
    </row>
    <row r="38" spans="1:46" x14ac:dyDescent="0.35">
      <c r="A38" s="94"/>
      <c r="B38" s="111"/>
      <c r="C38" s="44">
        <v>0.25</v>
      </c>
      <c r="D38" s="47">
        <v>5</v>
      </c>
      <c r="E38" s="47" t="s">
        <v>62</v>
      </c>
      <c r="F38" s="47">
        <v>-29.36</v>
      </c>
      <c r="G38" s="54">
        <v>7</v>
      </c>
      <c r="H38" s="55">
        <v>28</v>
      </c>
      <c r="I38" s="55">
        <f t="shared" si="0"/>
        <v>35</v>
      </c>
      <c r="J38" s="56">
        <v>1</v>
      </c>
      <c r="K38" s="57">
        <f t="shared" si="13"/>
        <v>0</v>
      </c>
      <c r="L38" s="57">
        <f t="shared" si="5"/>
        <v>0</v>
      </c>
      <c r="M38" s="54">
        <f t="shared" si="14"/>
        <v>0</v>
      </c>
      <c r="N38" s="57">
        <f t="shared" si="7"/>
        <v>0</v>
      </c>
      <c r="O38" s="57">
        <f t="shared" si="15"/>
        <v>0</v>
      </c>
      <c r="P38" s="57">
        <f t="shared" si="12"/>
        <v>0</v>
      </c>
      <c r="Q38" s="57" t="str">
        <f t="shared" si="16"/>
        <v>No</v>
      </c>
      <c r="R38" s="54">
        <f t="shared" si="17"/>
        <v>0</v>
      </c>
      <c r="S38" s="58">
        <f t="shared" si="9"/>
        <v>0</v>
      </c>
      <c r="AR38" s="61" cm="1">
        <f t="array" ref="AR38:AR45">INDEX($J:$J,7+20*_xlfn.SEQUENCE(8,1,0,1))</f>
        <v>0</v>
      </c>
      <c r="AT38">
        <f>_xlfn.RANK.AVG(AR38,$AR$38:$AR$45,0)</f>
        <v>8</v>
      </c>
    </row>
    <row r="39" spans="1:46" x14ac:dyDescent="0.35">
      <c r="A39" s="94"/>
      <c r="B39" s="111"/>
      <c r="C39" s="45">
        <v>0.45</v>
      </c>
      <c r="D39" s="47">
        <v>5</v>
      </c>
      <c r="E39" s="47" t="s">
        <v>62</v>
      </c>
      <c r="F39" s="47">
        <v>-29.36</v>
      </c>
      <c r="G39" s="54">
        <v>7</v>
      </c>
      <c r="H39" s="55">
        <v>28</v>
      </c>
      <c r="I39" s="55">
        <f t="shared" si="0"/>
        <v>35</v>
      </c>
      <c r="J39" s="56">
        <v>1</v>
      </c>
      <c r="K39" s="57">
        <f t="shared" si="13"/>
        <v>0</v>
      </c>
      <c r="L39" s="57">
        <f t="shared" si="5"/>
        <v>0</v>
      </c>
      <c r="M39" s="54">
        <f t="shared" si="14"/>
        <v>0</v>
      </c>
      <c r="N39" s="57">
        <f t="shared" si="7"/>
        <v>0</v>
      </c>
      <c r="O39" s="57">
        <f t="shared" si="15"/>
        <v>0</v>
      </c>
      <c r="P39" s="57">
        <f t="shared" si="12"/>
        <v>0</v>
      </c>
      <c r="Q39" s="57" t="str">
        <f t="shared" si="16"/>
        <v>No</v>
      </c>
      <c r="R39" s="54">
        <f t="shared" si="17"/>
        <v>0</v>
      </c>
      <c r="S39" s="58">
        <f t="shared" si="9"/>
        <v>0</v>
      </c>
      <c r="AR39" s="61">
        <v>1</v>
      </c>
      <c r="AT39">
        <f t="shared" ref="AT39:AT45" si="19">_xlfn.RANK.AVG(AR39,$AR$38:$AR$45,0)</f>
        <v>2</v>
      </c>
    </row>
    <row r="40" spans="1:46" x14ac:dyDescent="0.35">
      <c r="A40" s="94"/>
      <c r="B40" s="111"/>
      <c r="C40" s="45">
        <v>0.55000000000000004</v>
      </c>
      <c r="D40" s="47">
        <v>5</v>
      </c>
      <c r="E40" s="47" t="s">
        <v>62</v>
      </c>
      <c r="F40" s="47">
        <v>-29.36</v>
      </c>
      <c r="G40" s="54">
        <v>7</v>
      </c>
      <c r="H40" s="55">
        <v>28</v>
      </c>
      <c r="I40" s="55">
        <f t="shared" si="0"/>
        <v>35</v>
      </c>
      <c r="J40" s="56">
        <v>1</v>
      </c>
      <c r="K40" s="57">
        <f t="shared" si="13"/>
        <v>0</v>
      </c>
      <c r="L40" s="57">
        <f t="shared" si="5"/>
        <v>0</v>
      </c>
      <c r="M40" s="54">
        <f t="shared" si="14"/>
        <v>0</v>
      </c>
      <c r="N40" s="57">
        <f t="shared" si="7"/>
        <v>0</v>
      </c>
      <c r="O40" s="57">
        <f t="shared" si="15"/>
        <v>0</v>
      </c>
      <c r="P40" s="57">
        <f t="shared" si="12"/>
        <v>0</v>
      </c>
      <c r="Q40" s="57" t="str">
        <f t="shared" si="16"/>
        <v>No</v>
      </c>
      <c r="R40" s="54">
        <f t="shared" si="17"/>
        <v>0</v>
      </c>
      <c r="S40" s="58">
        <f t="shared" si="9"/>
        <v>0</v>
      </c>
      <c r="AR40" s="61">
        <v>0.6008</v>
      </c>
      <c r="AT40">
        <f t="shared" si="19"/>
        <v>6</v>
      </c>
    </row>
    <row r="41" spans="1:46" x14ac:dyDescent="0.35">
      <c r="A41" s="94"/>
      <c r="B41" s="112"/>
      <c r="C41" s="45">
        <v>0.65</v>
      </c>
      <c r="D41" s="47">
        <v>5</v>
      </c>
      <c r="E41" s="47" t="s">
        <v>62</v>
      </c>
      <c r="F41" s="47">
        <v>-29.36</v>
      </c>
      <c r="G41" s="54">
        <v>7</v>
      </c>
      <c r="H41" s="55">
        <v>28</v>
      </c>
      <c r="I41" s="55">
        <f t="shared" si="0"/>
        <v>35</v>
      </c>
      <c r="J41" s="56">
        <v>1</v>
      </c>
      <c r="K41" s="57">
        <f t="shared" si="13"/>
        <v>0</v>
      </c>
      <c r="L41" s="57">
        <f t="shared" si="5"/>
        <v>0</v>
      </c>
      <c r="M41" s="54">
        <f t="shared" si="14"/>
        <v>0</v>
      </c>
      <c r="N41" s="57">
        <f t="shared" si="7"/>
        <v>0</v>
      </c>
      <c r="O41" s="57">
        <f t="shared" si="15"/>
        <v>0</v>
      </c>
      <c r="P41" s="57">
        <f t="shared" si="12"/>
        <v>0</v>
      </c>
      <c r="Q41" s="57" t="str">
        <f t="shared" si="16"/>
        <v>No</v>
      </c>
      <c r="R41" s="54">
        <f t="shared" si="17"/>
        <v>0</v>
      </c>
      <c r="S41" s="58">
        <f t="shared" si="9"/>
        <v>0</v>
      </c>
      <c r="AR41" s="61">
        <v>0.7681</v>
      </c>
      <c r="AT41">
        <f t="shared" si="19"/>
        <v>5</v>
      </c>
    </row>
    <row r="42" spans="1:46" x14ac:dyDescent="0.35">
      <c r="A42" s="94" t="s">
        <v>47</v>
      </c>
      <c r="B42" s="96" t="s">
        <v>52</v>
      </c>
      <c r="C42" s="96"/>
      <c r="D42" s="46">
        <v>5</v>
      </c>
      <c r="E42" s="46" t="s">
        <v>62</v>
      </c>
      <c r="F42" s="46">
        <v>6.64</v>
      </c>
      <c r="G42" s="49">
        <v>3</v>
      </c>
      <c r="H42" s="50">
        <v>12</v>
      </c>
      <c r="I42" s="50">
        <f t="shared" si="0"/>
        <v>15</v>
      </c>
      <c r="J42" s="51">
        <v>0.6008</v>
      </c>
      <c r="K42" s="52" t="s">
        <v>38</v>
      </c>
      <c r="L42" s="52" t="s">
        <v>38</v>
      </c>
      <c r="M42" s="52" t="s">
        <v>38</v>
      </c>
      <c r="N42" s="52" t="s">
        <v>38</v>
      </c>
      <c r="O42" s="52" t="s">
        <v>38</v>
      </c>
      <c r="P42" s="52" t="s">
        <v>38</v>
      </c>
      <c r="Q42" s="52" t="s">
        <v>38</v>
      </c>
      <c r="R42" s="52" t="s">
        <v>38</v>
      </c>
      <c r="S42" s="52" t="s">
        <v>38</v>
      </c>
      <c r="AR42" s="61">
        <v>0.51200000000000001</v>
      </c>
      <c r="AT42">
        <f t="shared" si="19"/>
        <v>7</v>
      </c>
    </row>
    <row r="43" spans="1:46" x14ac:dyDescent="0.35">
      <c r="A43" s="94"/>
      <c r="B43" s="110" t="s">
        <v>50</v>
      </c>
      <c r="C43" s="47">
        <v>0</v>
      </c>
      <c r="D43" s="47">
        <v>10</v>
      </c>
      <c r="E43" s="47" t="s">
        <v>62</v>
      </c>
      <c r="F43" s="47">
        <v>6.64</v>
      </c>
      <c r="G43" s="54">
        <v>3</v>
      </c>
      <c r="H43" s="55">
        <v>12</v>
      </c>
      <c r="I43" s="55">
        <f t="shared" si="0"/>
        <v>15</v>
      </c>
      <c r="J43" s="56">
        <v>0.6008</v>
      </c>
      <c r="K43" s="57">
        <f>(J43-$J$42)*100</f>
        <v>0</v>
      </c>
      <c r="L43" s="57">
        <f t="shared" si="5"/>
        <v>0</v>
      </c>
      <c r="M43" s="54">
        <f>D43-$D$42</f>
        <v>5</v>
      </c>
      <c r="N43" s="57">
        <f t="shared" si="7"/>
        <v>5</v>
      </c>
      <c r="O43" s="57">
        <f>F43-$F$42</f>
        <v>0</v>
      </c>
      <c r="P43" s="57">
        <f t="shared" si="12"/>
        <v>0</v>
      </c>
      <c r="Q43" s="57" t="str">
        <f t="shared" si="16"/>
        <v>No</v>
      </c>
      <c r="R43" s="54">
        <f>I43-$I$42</f>
        <v>0</v>
      </c>
      <c r="S43" s="58">
        <f t="shared" si="9"/>
        <v>0</v>
      </c>
      <c r="AR43" s="61">
        <v>0.98640000000000005</v>
      </c>
      <c r="AT43">
        <f t="shared" si="19"/>
        <v>4</v>
      </c>
    </row>
    <row r="44" spans="1:46" x14ac:dyDescent="0.35">
      <c r="A44" s="94"/>
      <c r="B44" s="111"/>
      <c r="C44" s="39">
        <v>0.05</v>
      </c>
      <c r="D44" s="47">
        <v>6</v>
      </c>
      <c r="E44" s="47" t="s">
        <v>62</v>
      </c>
      <c r="F44" s="47">
        <v>6.64</v>
      </c>
      <c r="G44" s="54">
        <v>3</v>
      </c>
      <c r="H44" s="55">
        <v>12</v>
      </c>
      <c r="I44" s="55">
        <f t="shared" si="0"/>
        <v>15</v>
      </c>
      <c r="J44" s="56">
        <v>0.6008</v>
      </c>
      <c r="K44" s="57">
        <f t="shared" ref="K44:K61" si="20">(J44-$J$42)*100</f>
        <v>0</v>
      </c>
      <c r="L44" s="57">
        <f t="shared" si="5"/>
        <v>0</v>
      </c>
      <c r="M44" s="54">
        <f t="shared" ref="M44:M61" si="21">D44-$D$42</f>
        <v>1</v>
      </c>
      <c r="N44" s="57">
        <f t="shared" si="7"/>
        <v>1</v>
      </c>
      <c r="O44" s="57">
        <f t="shared" ref="O44:O61" si="22">F44-$F$42</f>
        <v>0</v>
      </c>
      <c r="P44" s="57">
        <f t="shared" si="12"/>
        <v>0</v>
      </c>
      <c r="Q44" s="57" t="str">
        <f t="shared" si="16"/>
        <v>No</v>
      </c>
      <c r="R44" s="54">
        <f t="shared" ref="R44:R61" si="23">I44-$I$42</f>
        <v>0</v>
      </c>
      <c r="S44" s="58">
        <f t="shared" si="9"/>
        <v>0</v>
      </c>
      <c r="AR44" s="61">
        <v>1</v>
      </c>
      <c r="AT44">
        <f t="shared" si="19"/>
        <v>2</v>
      </c>
    </row>
    <row r="45" spans="1:46" x14ac:dyDescent="0.35">
      <c r="A45" s="94"/>
      <c r="B45" s="111"/>
      <c r="C45" s="39">
        <v>0.25</v>
      </c>
      <c r="D45" s="47">
        <v>5</v>
      </c>
      <c r="E45" s="47" t="s">
        <v>62</v>
      </c>
      <c r="F45" s="47">
        <v>6.64</v>
      </c>
      <c r="G45" s="54">
        <v>3</v>
      </c>
      <c r="H45" s="55">
        <v>12</v>
      </c>
      <c r="I45" s="55">
        <f t="shared" si="0"/>
        <v>15</v>
      </c>
      <c r="J45" s="56">
        <v>0.6008</v>
      </c>
      <c r="K45" s="57">
        <f t="shared" si="20"/>
        <v>0</v>
      </c>
      <c r="L45" s="57">
        <f t="shared" si="5"/>
        <v>0</v>
      </c>
      <c r="M45" s="54">
        <f t="shared" si="21"/>
        <v>0</v>
      </c>
      <c r="N45" s="57">
        <f t="shared" si="7"/>
        <v>0</v>
      </c>
      <c r="O45" s="57">
        <f t="shared" si="22"/>
        <v>0</v>
      </c>
      <c r="P45" s="57">
        <f t="shared" si="12"/>
        <v>0</v>
      </c>
      <c r="Q45" s="57" t="str">
        <f t="shared" si="16"/>
        <v>No</v>
      </c>
      <c r="R45" s="54">
        <f t="shared" si="23"/>
        <v>0</v>
      </c>
      <c r="S45" s="58">
        <f t="shared" si="9"/>
        <v>0</v>
      </c>
      <c r="AR45" s="61">
        <v>1</v>
      </c>
      <c r="AT45">
        <f t="shared" si="19"/>
        <v>2</v>
      </c>
    </row>
    <row r="46" spans="1:46" x14ac:dyDescent="0.35">
      <c r="A46" s="94"/>
      <c r="B46" s="111"/>
      <c r="C46" s="39">
        <v>0.35</v>
      </c>
      <c r="D46" s="47">
        <v>5</v>
      </c>
      <c r="E46" s="47" t="s">
        <v>62</v>
      </c>
      <c r="F46" s="47">
        <v>6.64</v>
      </c>
      <c r="G46" s="54">
        <v>3</v>
      </c>
      <c r="H46" s="55">
        <v>12</v>
      </c>
      <c r="I46" s="55">
        <f t="shared" si="0"/>
        <v>15</v>
      </c>
      <c r="J46" s="56">
        <v>0.6008</v>
      </c>
      <c r="K46" s="57">
        <f t="shared" si="20"/>
        <v>0</v>
      </c>
      <c r="L46" s="57">
        <f t="shared" si="5"/>
        <v>0</v>
      </c>
      <c r="M46" s="54">
        <f t="shared" si="21"/>
        <v>0</v>
      </c>
      <c r="N46" s="57">
        <f t="shared" si="7"/>
        <v>0</v>
      </c>
      <c r="O46" s="57">
        <f t="shared" si="22"/>
        <v>0</v>
      </c>
      <c r="P46" s="57">
        <f t="shared" si="12"/>
        <v>0</v>
      </c>
      <c r="Q46" s="57" t="str">
        <f t="shared" si="16"/>
        <v>No</v>
      </c>
      <c r="R46" s="54">
        <f t="shared" si="23"/>
        <v>0</v>
      </c>
      <c r="S46" s="58">
        <f t="shared" si="9"/>
        <v>0</v>
      </c>
    </row>
    <row r="47" spans="1:46" x14ac:dyDescent="0.35">
      <c r="A47" s="94"/>
      <c r="B47" s="111"/>
      <c r="C47" s="44">
        <v>0.45</v>
      </c>
      <c r="D47" s="47">
        <v>3</v>
      </c>
      <c r="E47" s="47" t="s">
        <v>62</v>
      </c>
      <c r="F47" s="47">
        <v>6.64</v>
      </c>
      <c r="G47" s="54">
        <v>3</v>
      </c>
      <c r="H47" s="55">
        <v>12</v>
      </c>
      <c r="I47" s="55">
        <f t="shared" si="0"/>
        <v>15</v>
      </c>
      <c r="J47" s="56">
        <v>0.6008</v>
      </c>
      <c r="K47" s="57">
        <f t="shared" si="20"/>
        <v>0</v>
      </c>
      <c r="L47" s="57">
        <f t="shared" si="5"/>
        <v>0</v>
      </c>
      <c r="M47" s="54">
        <f t="shared" si="21"/>
        <v>-2</v>
      </c>
      <c r="N47" s="57">
        <f t="shared" si="7"/>
        <v>2</v>
      </c>
      <c r="O47" s="57">
        <f t="shared" si="22"/>
        <v>0</v>
      </c>
      <c r="P47" s="57">
        <f t="shared" si="12"/>
        <v>0</v>
      </c>
      <c r="Q47" s="57" t="str">
        <f t="shared" si="16"/>
        <v>No</v>
      </c>
      <c r="R47" s="54">
        <f t="shared" si="23"/>
        <v>0</v>
      </c>
      <c r="S47" s="58">
        <f t="shared" si="9"/>
        <v>0</v>
      </c>
      <c r="AR47" s="61" cm="1">
        <f t="array" ref="AR47:AR54">INDEX($J:$J,8+20*_xlfn.SEQUENCE(8,1,0,1))</f>
        <v>0</v>
      </c>
      <c r="AT47">
        <f>_xlfn.RANK.AVG(AR47,$AR$47:$AR$54,0)</f>
        <v>8</v>
      </c>
    </row>
    <row r="48" spans="1:46" x14ac:dyDescent="0.35">
      <c r="A48" s="94"/>
      <c r="B48" s="112"/>
      <c r="C48" s="44">
        <v>0.55000000000000004</v>
      </c>
      <c r="D48" s="47">
        <v>3</v>
      </c>
      <c r="E48" s="47" t="s">
        <v>62</v>
      </c>
      <c r="F48" s="47">
        <v>6.64</v>
      </c>
      <c r="G48" s="54">
        <v>3</v>
      </c>
      <c r="H48" s="55">
        <v>12</v>
      </c>
      <c r="I48" s="55">
        <f t="shared" si="0"/>
        <v>15</v>
      </c>
      <c r="J48" s="56">
        <v>0.6008</v>
      </c>
      <c r="K48" s="57">
        <f t="shared" si="20"/>
        <v>0</v>
      </c>
      <c r="L48" s="57">
        <f t="shared" si="5"/>
        <v>0</v>
      </c>
      <c r="M48" s="54">
        <f t="shared" si="21"/>
        <v>-2</v>
      </c>
      <c r="N48" s="57">
        <f t="shared" si="7"/>
        <v>2</v>
      </c>
      <c r="O48" s="57">
        <f t="shared" si="22"/>
        <v>0</v>
      </c>
      <c r="P48" s="57">
        <f t="shared" si="12"/>
        <v>0</v>
      </c>
      <c r="Q48" s="57" t="str">
        <f t="shared" si="16"/>
        <v>No</v>
      </c>
      <c r="R48" s="54">
        <f t="shared" si="23"/>
        <v>0</v>
      </c>
      <c r="S48" s="58">
        <f t="shared" si="9"/>
        <v>0</v>
      </c>
      <c r="AR48" s="61">
        <v>1</v>
      </c>
      <c r="AT48">
        <f t="shared" ref="AT48:AT54" si="24">_xlfn.RANK.AVG(AR48,$AR$47:$AR$54,0)</f>
        <v>2</v>
      </c>
    </row>
    <row r="49" spans="1:46" x14ac:dyDescent="0.35">
      <c r="A49" s="94"/>
      <c r="B49" s="113" t="s">
        <v>66</v>
      </c>
      <c r="C49" s="44">
        <v>0</v>
      </c>
      <c r="D49" s="47">
        <v>5</v>
      </c>
      <c r="E49" s="47" t="s">
        <v>62</v>
      </c>
      <c r="F49" s="47">
        <v>6.64</v>
      </c>
      <c r="G49" s="54">
        <v>0</v>
      </c>
      <c r="H49" s="55">
        <v>12</v>
      </c>
      <c r="I49" s="55">
        <f t="shared" si="0"/>
        <v>12</v>
      </c>
      <c r="J49" s="56">
        <v>0.44929999999999998</v>
      </c>
      <c r="K49" s="57">
        <f t="shared" si="20"/>
        <v>-15.150000000000002</v>
      </c>
      <c r="L49" s="57">
        <f t="shared" si="5"/>
        <v>15.150000000000002</v>
      </c>
      <c r="M49" s="54">
        <f t="shared" si="21"/>
        <v>0</v>
      </c>
      <c r="N49" s="57">
        <f t="shared" si="7"/>
        <v>0</v>
      </c>
      <c r="O49" s="57">
        <f t="shared" si="22"/>
        <v>0</v>
      </c>
      <c r="P49" s="57">
        <f t="shared" si="12"/>
        <v>0</v>
      </c>
      <c r="Q49" s="57" t="str">
        <f t="shared" si="16"/>
        <v>No</v>
      </c>
      <c r="R49" s="54">
        <f t="shared" si="23"/>
        <v>-3</v>
      </c>
      <c r="S49" s="58">
        <f t="shared" si="9"/>
        <v>3</v>
      </c>
      <c r="AR49" s="61">
        <v>0.6008</v>
      </c>
      <c r="AT49">
        <f t="shared" si="24"/>
        <v>6</v>
      </c>
    </row>
    <row r="50" spans="1:46" x14ac:dyDescent="0.35">
      <c r="A50" s="94"/>
      <c r="B50" s="111"/>
      <c r="C50" s="44">
        <v>0.05</v>
      </c>
      <c r="D50" s="47">
        <v>5</v>
      </c>
      <c r="E50" s="47" t="s">
        <v>62</v>
      </c>
      <c r="F50" s="47">
        <v>6.64</v>
      </c>
      <c r="G50" s="54">
        <v>3</v>
      </c>
      <c r="H50" s="55">
        <v>12</v>
      </c>
      <c r="I50" s="55">
        <f t="shared" si="0"/>
        <v>15</v>
      </c>
      <c r="J50" s="56">
        <v>0.6008</v>
      </c>
      <c r="K50" s="57">
        <f t="shared" si="20"/>
        <v>0</v>
      </c>
      <c r="L50" s="57">
        <f t="shared" si="5"/>
        <v>0</v>
      </c>
      <c r="M50" s="54">
        <f t="shared" si="21"/>
        <v>0</v>
      </c>
      <c r="N50" s="57">
        <f t="shared" si="7"/>
        <v>0</v>
      </c>
      <c r="O50" s="57">
        <f t="shared" si="22"/>
        <v>0</v>
      </c>
      <c r="P50" s="57">
        <f t="shared" si="12"/>
        <v>0</v>
      </c>
      <c r="Q50" s="57" t="str">
        <f t="shared" si="16"/>
        <v>No</v>
      </c>
      <c r="R50" s="54">
        <f t="shared" si="23"/>
        <v>0</v>
      </c>
      <c r="S50" s="58">
        <f t="shared" si="9"/>
        <v>0</v>
      </c>
      <c r="AR50" s="61">
        <v>0.7681</v>
      </c>
      <c r="AT50">
        <f t="shared" si="24"/>
        <v>5</v>
      </c>
    </row>
    <row r="51" spans="1:46" x14ac:dyDescent="0.35">
      <c r="A51" s="94"/>
      <c r="B51" s="111"/>
      <c r="C51" s="44">
        <v>0.25</v>
      </c>
      <c r="D51" s="47">
        <v>5</v>
      </c>
      <c r="E51" s="47" t="s">
        <v>62</v>
      </c>
      <c r="F51" s="47">
        <v>6.64</v>
      </c>
      <c r="G51" s="54">
        <v>3</v>
      </c>
      <c r="H51" s="55">
        <v>12</v>
      </c>
      <c r="I51" s="55">
        <f t="shared" si="0"/>
        <v>15</v>
      </c>
      <c r="J51" s="56">
        <v>0.6008</v>
      </c>
      <c r="K51" s="57">
        <f t="shared" si="20"/>
        <v>0</v>
      </c>
      <c r="L51" s="57">
        <f t="shared" si="5"/>
        <v>0</v>
      </c>
      <c r="M51" s="54">
        <f t="shared" si="21"/>
        <v>0</v>
      </c>
      <c r="N51" s="57">
        <f t="shared" si="7"/>
        <v>0</v>
      </c>
      <c r="O51" s="57">
        <f t="shared" si="22"/>
        <v>0</v>
      </c>
      <c r="P51" s="57">
        <f t="shared" si="12"/>
        <v>0</v>
      </c>
      <c r="Q51" s="57" t="str">
        <f t="shared" si="16"/>
        <v>No</v>
      </c>
      <c r="R51" s="54">
        <f t="shared" si="23"/>
        <v>0</v>
      </c>
      <c r="S51" s="58">
        <f t="shared" si="9"/>
        <v>0</v>
      </c>
      <c r="AR51" s="61">
        <v>0.51200000000000001</v>
      </c>
      <c r="AT51">
        <f t="shared" si="24"/>
        <v>7</v>
      </c>
    </row>
    <row r="52" spans="1:46" x14ac:dyDescent="0.35">
      <c r="A52" s="94"/>
      <c r="B52" s="111"/>
      <c r="C52" s="44">
        <v>0.35</v>
      </c>
      <c r="D52" s="47">
        <v>5</v>
      </c>
      <c r="E52" s="47" t="s">
        <v>62</v>
      </c>
      <c r="F52" s="47">
        <v>6.64</v>
      </c>
      <c r="G52" s="54">
        <v>3</v>
      </c>
      <c r="H52" s="55">
        <v>12</v>
      </c>
      <c r="I52" s="55">
        <f t="shared" si="0"/>
        <v>15</v>
      </c>
      <c r="J52" s="56">
        <v>0.6008</v>
      </c>
      <c r="K52" s="57">
        <f t="shared" si="20"/>
        <v>0</v>
      </c>
      <c r="L52" s="57">
        <f t="shared" si="5"/>
        <v>0</v>
      </c>
      <c r="M52" s="54">
        <f t="shared" si="21"/>
        <v>0</v>
      </c>
      <c r="N52" s="57">
        <f t="shared" si="7"/>
        <v>0</v>
      </c>
      <c r="O52" s="57">
        <f t="shared" si="22"/>
        <v>0</v>
      </c>
      <c r="P52" s="57">
        <f t="shared" si="12"/>
        <v>0</v>
      </c>
      <c r="Q52" s="57" t="str">
        <f t="shared" si="16"/>
        <v>No</v>
      </c>
      <c r="R52" s="54">
        <f t="shared" si="23"/>
        <v>0</v>
      </c>
      <c r="S52" s="58">
        <f t="shared" si="9"/>
        <v>0</v>
      </c>
      <c r="AR52" s="61">
        <v>0.98640000000000005</v>
      </c>
      <c r="AT52">
        <f t="shared" si="24"/>
        <v>4</v>
      </c>
    </row>
    <row r="53" spans="1:46" x14ac:dyDescent="0.35">
      <c r="A53" s="94"/>
      <c r="B53" s="111"/>
      <c r="C53" s="44">
        <v>0.45</v>
      </c>
      <c r="D53" s="47">
        <v>5</v>
      </c>
      <c r="E53" s="47" t="s">
        <v>62</v>
      </c>
      <c r="F53" s="47">
        <v>6.64</v>
      </c>
      <c r="G53" s="54">
        <v>3</v>
      </c>
      <c r="H53" s="55">
        <v>12</v>
      </c>
      <c r="I53" s="55">
        <f t="shared" si="0"/>
        <v>15</v>
      </c>
      <c r="J53" s="56">
        <v>0.6008</v>
      </c>
      <c r="K53" s="57">
        <f t="shared" si="20"/>
        <v>0</v>
      </c>
      <c r="L53" s="57">
        <f t="shared" si="5"/>
        <v>0</v>
      </c>
      <c r="M53" s="54">
        <f t="shared" si="21"/>
        <v>0</v>
      </c>
      <c r="N53" s="57">
        <f t="shared" si="7"/>
        <v>0</v>
      </c>
      <c r="O53" s="57">
        <f t="shared" si="22"/>
        <v>0</v>
      </c>
      <c r="P53" s="57">
        <f t="shared" si="12"/>
        <v>0</v>
      </c>
      <c r="Q53" s="57" t="str">
        <f t="shared" si="16"/>
        <v>No</v>
      </c>
      <c r="R53" s="54">
        <f t="shared" si="23"/>
        <v>0</v>
      </c>
      <c r="S53" s="58">
        <f t="shared" si="9"/>
        <v>0</v>
      </c>
      <c r="AR53" s="61">
        <v>1</v>
      </c>
      <c r="AT53">
        <f t="shared" si="24"/>
        <v>2</v>
      </c>
    </row>
    <row r="54" spans="1:46" x14ac:dyDescent="0.35">
      <c r="A54" s="94"/>
      <c r="B54" s="112"/>
      <c r="C54" s="44">
        <v>0.55000000000000004</v>
      </c>
      <c r="D54" s="47">
        <v>5</v>
      </c>
      <c r="E54" s="47" t="s">
        <v>62</v>
      </c>
      <c r="F54" s="47">
        <v>6.64</v>
      </c>
      <c r="G54" s="54">
        <v>3</v>
      </c>
      <c r="H54" s="55">
        <v>12</v>
      </c>
      <c r="I54" s="55">
        <f t="shared" si="0"/>
        <v>15</v>
      </c>
      <c r="J54" s="56">
        <v>0.6008</v>
      </c>
      <c r="K54" s="57">
        <f t="shared" si="20"/>
        <v>0</v>
      </c>
      <c r="L54" s="57">
        <f t="shared" si="5"/>
        <v>0</v>
      </c>
      <c r="M54" s="54">
        <f t="shared" si="21"/>
        <v>0</v>
      </c>
      <c r="N54" s="57">
        <f t="shared" si="7"/>
        <v>0</v>
      </c>
      <c r="O54" s="57">
        <f t="shared" si="22"/>
        <v>0</v>
      </c>
      <c r="P54" s="57">
        <f t="shared" si="12"/>
        <v>0</v>
      </c>
      <c r="Q54" s="57" t="str">
        <f t="shared" si="16"/>
        <v>No</v>
      </c>
      <c r="R54" s="54">
        <f t="shared" si="23"/>
        <v>0</v>
      </c>
      <c r="S54" s="58">
        <f t="shared" si="9"/>
        <v>0</v>
      </c>
      <c r="AR54" s="61">
        <v>1</v>
      </c>
      <c r="AT54">
        <f t="shared" si="24"/>
        <v>2</v>
      </c>
    </row>
    <row r="55" spans="1:46" x14ac:dyDescent="0.35">
      <c r="A55" s="94"/>
      <c r="B55" s="110" t="s">
        <v>51</v>
      </c>
      <c r="C55" s="44">
        <v>0</v>
      </c>
      <c r="D55" s="47">
        <v>5</v>
      </c>
      <c r="E55" s="47" t="s">
        <v>62</v>
      </c>
      <c r="F55" s="47">
        <v>6.64</v>
      </c>
      <c r="G55" s="54">
        <v>3</v>
      </c>
      <c r="H55" s="55">
        <v>6</v>
      </c>
      <c r="I55" s="55">
        <f t="shared" si="0"/>
        <v>9</v>
      </c>
      <c r="J55" s="56">
        <v>0.41839999999999999</v>
      </c>
      <c r="K55" s="57">
        <f t="shared" si="20"/>
        <v>-18.240000000000002</v>
      </c>
      <c r="L55" s="57">
        <f t="shared" si="5"/>
        <v>18.240000000000002</v>
      </c>
      <c r="M55" s="54">
        <f t="shared" si="21"/>
        <v>0</v>
      </c>
      <c r="N55" s="57">
        <f t="shared" si="7"/>
        <v>0</v>
      </c>
      <c r="O55" s="57">
        <f t="shared" si="22"/>
        <v>0</v>
      </c>
      <c r="P55" s="57">
        <f t="shared" si="12"/>
        <v>0</v>
      </c>
      <c r="Q55" s="57" t="str">
        <f t="shared" si="16"/>
        <v>No</v>
      </c>
      <c r="R55" s="54">
        <f t="shared" si="23"/>
        <v>-6</v>
      </c>
      <c r="S55" s="58">
        <f t="shared" si="9"/>
        <v>6</v>
      </c>
    </row>
    <row r="56" spans="1:46" x14ac:dyDescent="0.35">
      <c r="A56" s="94"/>
      <c r="B56" s="111"/>
      <c r="C56" s="44">
        <v>0.05</v>
      </c>
      <c r="D56" s="47">
        <v>5</v>
      </c>
      <c r="E56" s="47" t="s">
        <v>62</v>
      </c>
      <c r="F56" s="47">
        <v>6.64</v>
      </c>
      <c r="G56" s="54">
        <v>3</v>
      </c>
      <c r="H56" s="55">
        <v>12</v>
      </c>
      <c r="I56" s="55">
        <f t="shared" si="0"/>
        <v>15</v>
      </c>
      <c r="J56" s="56">
        <v>0.6008</v>
      </c>
      <c r="K56" s="57">
        <f t="shared" si="20"/>
        <v>0</v>
      </c>
      <c r="L56" s="57">
        <f t="shared" si="5"/>
        <v>0</v>
      </c>
      <c r="M56" s="54">
        <f t="shared" si="21"/>
        <v>0</v>
      </c>
      <c r="N56" s="57">
        <f t="shared" si="7"/>
        <v>0</v>
      </c>
      <c r="O56" s="57">
        <f t="shared" si="22"/>
        <v>0</v>
      </c>
      <c r="P56" s="57">
        <f t="shared" si="12"/>
        <v>0</v>
      </c>
      <c r="Q56" s="57" t="str">
        <f t="shared" si="16"/>
        <v>No</v>
      </c>
      <c r="R56" s="54">
        <f t="shared" si="23"/>
        <v>0</v>
      </c>
      <c r="S56" s="58">
        <f t="shared" si="9"/>
        <v>0</v>
      </c>
      <c r="AR56" s="61" cm="1">
        <f t="array" ref="AR56:AR63">INDEX($J:$J,9+20*_xlfn.SEQUENCE(8,1,0,1))</f>
        <v>0</v>
      </c>
      <c r="AT56">
        <f>_xlfn.RANK.AVG(AR56,$AR$56:$AR$63,0)</f>
        <v>8</v>
      </c>
    </row>
    <row r="57" spans="1:46" x14ac:dyDescent="0.35">
      <c r="A57" s="94"/>
      <c r="B57" s="111"/>
      <c r="C57" s="44">
        <v>0.15</v>
      </c>
      <c r="D57" s="47">
        <v>5</v>
      </c>
      <c r="E57" s="47" t="s">
        <v>62</v>
      </c>
      <c r="F57" s="47">
        <v>6.64</v>
      </c>
      <c r="G57" s="54">
        <v>3</v>
      </c>
      <c r="H57" s="55">
        <v>12</v>
      </c>
      <c r="I57" s="55">
        <f t="shared" si="0"/>
        <v>15</v>
      </c>
      <c r="J57" s="56">
        <v>0.6008</v>
      </c>
      <c r="K57" s="57">
        <f t="shared" si="20"/>
        <v>0</v>
      </c>
      <c r="L57" s="57">
        <f t="shared" si="5"/>
        <v>0</v>
      </c>
      <c r="M57" s="54">
        <f t="shared" si="21"/>
        <v>0</v>
      </c>
      <c r="N57" s="57">
        <f t="shared" si="7"/>
        <v>0</v>
      </c>
      <c r="O57" s="57">
        <f t="shared" si="22"/>
        <v>0</v>
      </c>
      <c r="P57" s="57">
        <f t="shared" si="12"/>
        <v>0</v>
      </c>
      <c r="Q57" s="57" t="str">
        <f t="shared" si="16"/>
        <v>No</v>
      </c>
      <c r="R57" s="54">
        <f t="shared" si="23"/>
        <v>0</v>
      </c>
      <c r="S57" s="58">
        <f t="shared" si="9"/>
        <v>0</v>
      </c>
      <c r="AR57" s="61">
        <v>0.79979999999999996</v>
      </c>
      <c r="AT57">
        <f t="shared" ref="AT57:AT63" si="25">_xlfn.RANK.AVG(AR57,$AR$56:$AR$63,0)</f>
        <v>3</v>
      </c>
    </row>
    <row r="58" spans="1:46" x14ac:dyDescent="0.35">
      <c r="A58" s="94"/>
      <c r="B58" s="111"/>
      <c r="C58" s="44">
        <v>0.25</v>
      </c>
      <c r="D58" s="47">
        <v>5</v>
      </c>
      <c r="E58" s="47" t="s">
        <v>62</v>
      </c>
      <c r="F58" s="47">
        <v>6.64</v>
      </c>
      <c r="G58" s="54">
        <v>3</v>
      </c>
      <c r="H58" s="55">
        <v>12</v>
      </c>
      <c r="I58" s="55">
        <f t="shared" si="0"/>
        <v>15</v>
      </c>
      <c r="J58" s="56">
        <v>0.6008</v>
      </c>
      <c r="K58" s="57">
        <f t="shared" si="20"/>
        <v>0</v>
      </c>
      <c r="L58" s="57">
        <f t="shared" si="5"/>
        <v>0</v>
      </c>
      <c r="M58" s="54">
        <f t="shared" si="21"/>
        <v>0</v>
      </c>
      <c r="N58" s="57">
        <f t="shared" si="7"/>
        <v>0</v>
      </c>
      <c r="O58" s="57">
        <f t="shared" si="22"/>
        <v>0</v>
      </c>
      <c r="P58" s="57">
        <f t="shared" si="12"/>
        <v>0</v>
      </c>
      <c r="Q58" s="57" t="str">
        <f t="shared" si="16"/>
        <v>No</v>
      </c>
      <c r="R58" s="54">
        <f t="shared" si="23"/>
        <v>0</v>
      </c>
      <c r="S58" s="58">
        <f t="shared" si="9"/>
        <v>0</v>
      </c>
      <c r="AR58" s="61">
        <v>0.44929999999999998</v>
      </c>
      <c r="AT58">
        <f t="shared" si="25"/>
        <v>7</v>
      </c>
    </row>
    <row r="59" spans="1:46" x14ac:dyDescent="0.35">
      <c r="A59" s="94"/>
      <c r="B59" s="111"/>
      <c r="C59" s="45">
        <v>0.45</v>
      </c>
      <c r="D59" s="47">
        <v>5</v>
      </c>
      <c r="E59" s="47" t="s">
        <v>62</v>
      </c>
      <c r="F59" s="47">
        <v>6.64</v>
      </c>
      <c r="G59" s="54">
        <v>3</v>
      </c>
      <c r="H59" s="55">
        <v>12</v>
      </c>
      <c r="I59" s="55">
        <f t="shared" si="0"/>
        <v>15</v>
      </c>
      <c r="J59" s="56">
        <v>0.6008</v>
      </c>
      <c r="K59" s="57">
        <f t="shared" si="20"/>
        <v>0</v>
      </c>
      <c r="L59" s="57">
        <f t="shared" si="5"/>
        <v>0</v>
      </c>
      <c r="M59" s="54">
        <f t="shared" si="21"/>
        <v>0</v>
      </c>
      <c r="N59" s="57">
        <f t="shared" si="7"/>
        <v>0</v>
      </c>
      <c r="O59" s="57">
        <f t="shared" si="22"/>
        <v>0</v>
      </c>
      <c r="P59" s="57">
        <f t="shared" si="12"/>
        <v>0</v>
      </c>
      <c r="Q59" s="57" t="str">
        <f t="shared" si="16"/>
        <v>No</v>
      </c>
      <c r="R59" s="54">
        <f t="shared" si="23"/>
        <v>0</v>
      </c>
      <c r="S59" s="58">
        <f t="shared" si="9"/>
        <v>0</v>
      </c>
      <c r="AR59" s="61">
        <v>0.56789999999999996</v>
      </c>
      <c r="AT59">
        <f t="shared" si="25"/>
        <v>5</v>
      </c>
    </row>
    <row r="60" spans="1:46" x14ac:dyDescent="0.35">
      <c r="A60" s="94"/>
      <c r="B60" s="111"/>
      <c r="C60" s="45">
        <v>0.55000000000000004</v>
      </c>
      <c r="D60" s="47">
        <v>5</v>
      </c>
      <c r="E60" s="47" t="s">
        <v>62</v>
      </c>
      <c r="F60" s="47">
        <v>6.64</v>
      </c>
      <c r="G60" s="54">
        <v>3</v>
      </c>
      <c r="H60" s="55">
        <v>12</v>
      </c>
      <c r="I60" s="55">
        <f t="shared" si="0"/>
        <v>15</v>
      </c>
      <c r="J60" s="56">
        <v>0.6008</v>
      </c>
      <c r="K60" s="57">
        <f t="shared" si="20"/>
        <v>0</v>
      </c>
      <c r="L60" s="57">
        <f t="shared" si="5"/>
        <v>0</v>
      </c>
      <c r="M60" s="54">
        <f t="shared" si="21"/>
        <v>0</v>
      </c>
      <c r="N60" s="57">
        <f t="shared" si="7"/>
        <v>0</v>
      </c>
      <c r="O60" s="57">
        <f t="shared" si="22"/>
        <v>0</v>
      </c>
      <c r="P60" s="57">
        <f t="shared" si="12"/>
        <v>0</v>
      </c>
      <c r="Q60" s="57" t="str">
        <f t="shared" si="16"/>
        <v>No</v>
      </c>
      <c r="R60" s="54">
        <f t="shared" si="23"/>
        <v>0</v>
      </c>
      <c r="S60" s="58">
        <f t="shared" si="9"/>
        <v>0</v>
      </c>
      <c r="AR60" s="61">
        <v>0.51200000000000001</v>
      </c>
      <c r="AT60">
        <f t="shared" si="25"/>
        <v>6</v>
      </c>
    </row>
    <row r="61" spans="1:46" x14ac:dyDescent="0.35">
      <c r="A61" s="94"/>
      <c r="B61" s="112"/>
      <c r="C61" s="45">
        <v>0.65</v>
      </c>
      <c r="D61" s="47">
        <v>5</v>
      </c>
      <c r="E61" s="47" t="s">
        <v>62</v>
      </c>
      <c r="F61" s="47">
        <v>6.64</v>
      </c>
      <c r="G61" s="54">
        <v>3</v>
      </c>
      <c r="H61" s="55">
        <v>12</v>
      </c>
      <c r="I61" s="55">
        <f t="shared" si="0"/>
        <v>15</v>
      </c>
      <c r="J61" s="56">
        <v>0.6008</v>
      </c>
      <c r="K61" s="57">
        <f t="shared" si="20"/>
        <v>0</v>
      </c>
      <c r="L61" s="57">
        <f t="shared" si="5"/>
        <v>0</v>
      </c>
      <c r="M61" s="54">
        <f t="shared" si="21"/>
        <v>0</v>
      </c>
      <c r="N61" s="57">
        <f t="shared" si="7"/>
        <v>0</v>
      </c>
      <c r="O61" s="57">
        <f t="shared" si="22"/>
        <v>0</v>
      </c>
      <c r="P61" s="57">
        <f t="shared" si="12"/>
        <v>0</v>
      </c>
      <c r="Q61" s="57" t="str">
        <f t="shared" si="16"/>
        <v>No</v>
      </c>
      <c r="R61" s="54">
        <f t="shared" si="23"/>
        <v>0</v>
      </c>
      <c r="S61" s="58">
        <f t="shared" si="9"/>
        <v>0</v>
      </c>
      <c r="AR61" s="61">
        <v>0.96079999999999999</v>
      </c>
      <c r="AT61">
        <f t="shared" si="25"/>
        <v>2</v>
      </c>
    </row>
    <row r="62" spans="1:46" x14ac:dyDescent="0.35">
      <c r="A62" s="94" t="s">
        <v>48</v>
      </c>
      <c r="B62" s="96" t="s">
        <v>52</v>
      </c>
      <c r="C62" s="96"/>
      <c r="D62" s="46">
        <v>8</v>
      </c>
      <c r="E62" s="46" t="s">
        <v>62</v>
      </c>
      <c r="F62" s="46">
        <v>-10.37</v>
      </c>
      <c r="G62" s="49">
        <v>7</v>
      </c>
      <c r="H62" s="50">
        <v>20</v>
      </c>
      <c r="I62" s="50">
        <f t="shared" si="0"/>
        <v>27</v>
      </c>
      <c r="J62" s="51">
        <v>0.7681</v>
      </c>
      <c r="K62" s="52" t="s">
        <v>38</v>
      </c>
      <c r="L62" s="52" t="s">
        <v>38</v>
      </c>
      <c r="M62" s="52" t="s">
        <v>38</v>
      </c>
      <c r="N62" s="52" t="s">
        <v>38</v>
      </c>
      <c r="O62" s="52" t="s">
        <v>38</v>
      </c>
      <c r="P62" s="52" t="s">
        <v>38</v>
      </c>
      <c r="Q62" s="52" t="s">
        <v>38</v>
      </c>
      <c r="R62" s="52" t="s">
        <v>38</v>
      </c>
      <c r="S62" s="52" t="s">
        <v>38</v>
      </c>
      <c r="AR62" s="61">
        <v>0.58050000000000002</v>
      </c>
      <c r="AT62">
        <f t="shared" si="25"/>
        <v>4</v>
      </c>
    </row>
    <row r="63" spans="1:46" x14ac:dyDescent="0.35">
      <c r="A63" s="94"/>
      <c r="B63" s="110" t="s">
        <v>50</v>
      </c>
      <c r="C63" s="47">
        <v>0</v>
      </c>
      <c r="D63" s="47">
        <v>9</v>
      </c>
      <c r="E63" s="47" t="s">
        <v>62</v>
      </c>
      <c r="F63" s="47">
        <v>-10.37</v>
      </c>
      <c r="G63" s="54">
        <v>7</v>
      </c>
      <c r="H63" s="55">
        <v>20</v>
      </c>
      <c r="I63" s="55">
        <f t="shared" si="0"/>
        <v>27</v>
      </c>
      <c r="J63" s="56">
        <v>0.7681</v>
      </c>
      <c r="K63" s="57">
        <f>(J63-$J$62)*100</f>
        <v>0</v>
      </c>
      <c r="L63" s="57">
        <f t="shared" si="5"/>
        <v>0</v>
      </c>
      <c r="M63" s="54">
        <f>D63-D$62</f>
        <v>1</v>
      </c>
      <c r="N63" s="57">
        <f t="shared" si="7"/>
        <v>1</v>
      </c>
      <c r="O63" s="57">
        <f>F63-$F$62</f>
        <v>0</v>
      </c>
      <c r="P63" s="57">
        <f t="shared" si="12"/>
        <v>0</v>
      </c>
      <c r="Q63" s="57" t="str">
        <f t="shared" si="16"/>
        <v>No</v>
      </c>
      <c r="R63" s="54">
        <f>I63-$I$62</f>
        <v>0</v>
      </c>
      <c r="S63" s="58">
        <f>ABS(R63)</f>
        <v>0</v>
      </c>
      <c r="AR63" s="61">
        <v>1</v>
      </c>
      <c r="AT63">
        <f t="shared" si="25"/>
        <v>1</v>
      </c>
    </row>
    <row r="64" spans="1:46" x14ac:dyDescent="0.35">
      <c r="A64" s="94"/>
      <c r="B64" s="111"/>
      <c r="C64" s="39">
        <v>0.05</v>
      </c>
      <c r="D64" s="47">
        <v>8</v>
      </c>
      <c r="E64" s="47" t="s">
        <v>62</v>
      </c>
      <c r="F64" s="47">
        <v>-10.37</v>
      </c>
      <c r="G64" s="54">
        <v>7</v>
      </c>
      <c r="H64" s="55">
        <v>20</v>
      </c>
      <c r="I64" s="55">
        <f t="shared" si="0"/>
        <v>27</v>
      </c>
      <c r="J64" s="56">
        <v>0.7681</v>
      </c>
      <c r="K64" s="57">
        <f t="shared" ref="K64:K81" si="26">(J64-$J$62)*100</f>
        <v>0</v>
      </c>
      <c r="L64" s="57">
        <f t="shared" si="5"/>
        <v>0</v>
      </c>
      <c r="M64" s="54">
        <f t="shared" ref="M64:M81" si="27">D64-D$62</f>
        <v>0</v>
      </c>
      <c r="N64" s="57">
        <f t="shared" si="7"/>
        <v>0</v>
      </c>
      <c r="O64" s="57">
        <f t="shared" ref="O64:O81" si="28">F64-$F$62</f>
        <v>0</v>
      </c>
      <c r="P64" s="57">
        <f t="shared" si="12"/>
        <v>0</v>
      </c>
      <c r="Q64" s="57" t="str">
        <f t="shared" si="16"/>
        <v>No</v>
      </c>
      <c r="R64" s="54">
        <f t="shared" ref="R64:R81" si="29">I64-$I$62</f>
        <v>0</v>
      </c>
      <c r="S64" s="58">
        <f>ABS(R64)</f>
        <v>0</v>
      </c>
    </row>
    <row r="65" spans="1:46" x14ac:dyDescent="0.35">
      <c r="A65" s="94"/>
      <c r="B65" s="111"/>
      <c r="C65" s="39">
        <v>0.25</v>
      </c>
      <c r="D65" s="47">
        <v>8</v>
      </c>
      <c r="E65" s="47" t="s">
        <v>62</v>
      </c>
      <c r="F65" s="47">
        <v>-10.37</v>
      </c>
      <c r="G65" s="54">
        <v>7</v>
      </c>
      <c r="H65" s="55">
        <v>20</v>
      </c>
      <c r="I65" s="55">
        <f t="shared" si="0"/>
        <v>27</v>
      </c>
      <c r="J65" s="56">
        <v>0.7681</v>
      </c>
      <c r="K65" s="57">
        <f t="shared" si="26"/>
        <v>0</v>
      </c>
      <c r="L65" s="57">
        <f t="shared" si="5"/>
        <v>0</v>
      </c>
      <c r="M65" s="54">
        <f t="shared" si="27"/>
        <v>0</v>
      </c>
      <c r="N65" s="57">
        <f t="shared" si="7"/>
        <v>0</v>
      </c>
      <c r="O65" s="57">
        <f t="shared" si="28"/>
        <v>0</v>
      </c>
      <c r="P65" s="57">
        <f t="shared" si="12"/>
        <v>0</v>
      </c>
      <c r="Q65" s="57" t="str">
        <f t="shared" si="16"/>
        <v>No</v>
      </c>
      <c r="R65" s="54">
        <f t="shared" si="29"/>
        <v>0</v>
      </c>
      <c r="S65" s="58">
        <f t="shared" si="9"/>
        <v>0</v>
      </c>
      <c r="AR65" s="61" cm="1">
        <f t="array" ref="AR65:AR72">INDEX($J:$J,10+20*_xlfn.SEQUENCE(8,1,0,1))</f>
        <v>0</v>
      </c>
      <c r="AT65">
        <f>_xlfn.RANK.AVG(AR65,$AR$65:$AR$72,0)</f>
        <v>8</v>
      </c>
    </row>
    <row r="66" spans="1:46" x14ac:dyDescent="0.35">
      <c r="A66" s="94"/>
      <c r="B66" s="111"/>
      <c r="C66" s="39">
        <v>0.35</v>
      </c>
      <c r="D66" s="47">
        <v>8</v>
      </c>
      <c r="E66" s="47" t="s">
        <v>62</v>
      </c>
      <c r="F66" s="47">
        <v>-10.37</v>
      </c>
      <c r="G66" s="54">
        <v>7</v>
      </c>
      <c r="H66" s="55">
        <v>20</v>
      </c>
      <c r="I66" s="55">
        <f t="shared" si="0"/>
        <v>27</v>
      </c>
      <c r="J66" s="56">
        <v>0.7681</v>
      </c>
      <c r="K66" s="57">
        <f t="shared" si="26"/>
        <v>0</v>
      </c>
      <c r="L66" s="57">
        <f t="shared" si="5"/>
        <v>0</v>
      </c>
      <c r="M66" s="54">
        <f t="shared" si="27"/>
        <v>0</v>
      </c>
      <c r="N66" s="57">
        <f t="shared" si="7"/>
        <v>0</v>
      </c>
      <c r="O66" s="57">
        <f t="shared" si="28"/>
        <v>0</v>
      </c>
      <c r="P66" s="57">
        <f t="shared" si="12"/>
        <v>0</v>
      </c>
      <c r="Q66" s="57" t="str">
        <f t="shared" si="16"/>
        <v>No</v>
      </c>
      <c r="R66" s="54">
        <f t="shared" si="29"/>
        <v>0</v>
      </c>
      <c r="S66" s="58">
        <f t="shared" si="9"/>
        <v>0</v>
      </c>
      <c r="AR66" s="61">
        <v>1</v>
      </c>
      <c r="AT66">
        <f t="shared" ref="AT66:AT72" si="30">_xlfn.RANK.AVG(AR66,$AR$65:$AR$72,0)</f>
        <v>2</v>
      </c>
    </row>
    <row r="67" spans="1:46" x14ac:dyDescent="0.35">
      <c r="A67" s="94"/>
      <c r="B67" s="111"/>
      <c r="C67" s="44">
        <v>0.45</v>
      </c>
      <c r="D67" s="47">
        <v>5</v>
      </c>
      <c r="E67" s="47" t="s">
        <v>62</v>
      </c>
      <c r="F67" s="47">
        <v>-10.37</v>
      </c>
      <c r="G67" s="54">
        <v>7</v>
      </c>
      <c r="H67" s="55">
        <v>20</v>
      </c>
      <c r="I67" s="55">
        <f t="shared" ref="I67:I130" si="31">H67+G67</f>
        <v>27</v>
      </c>
      <c r="J67" s="56">
        <v>0.7681</v>
      </c>
      <c r="K67" s="57">
        <f t="shared" si="26"/>
        <v>0</v>
      </c>
      <c r="L67" s="57">
        <f t="shared" si="5"/>
        <v>0</v>
      </c>
      <c r="M67" s="54">
        <f t="shared" si="27"/>
        <v>-3</v>
      </c>
      <c r="N67" s="57">
        <f t="shared" si="7"/>
        <v>3</v>
      </c>
      <c r="O67" s="57">
        <f t="shared" si="28"/>
        <v>0</v>
      </c>
      <c r="P67" s="57">
        <f t="shared" si="12"/>
        <v>0</v>
      </c>
      <c r="Q67" s="57" t="str">
        <f t="shared" si="16"/>
        <v>No</v>
      </c>
      <c r="R67" s="54">
        <f t="shared" si="29"/>
        <v>0</v>
      </c>
      <c r="S67" s="58">
        <f t="shared" si="9"/>
        <v>0</v>
      </c>
      <c r="AR67" s="61">
        <v>0.6008</v>
      </c>
      <c r="AT67">
        <f t="shared" si="30"/>
        <v>6</v>
      </c>
    </row>
    <row r="68" spans="1:46" x14ac:dyDescent="0.35">
      <c r="A68" s="94"/>
      <c r="B68" s="112"/>
      <c r="C68" s="44">
        <v>0.55000000000000004</v>
      </c>
      <c r="D68" s="47">
        <v>5</v>
      </c>
      <c r="E68" s="47" t="s">
        <v>62</v>
      </c>
      <c r="F68" s="47">
        <v>-10.37</v>
      </c>
      <c r="G68" s="54">
        <v>7</v>
      </c>
      <c r="H68" s="55">
        <v>20</v>
      </c>
      <c r="I68" s="55">
        <f t="shared" si="31"/>
        <v>27</v>
      </c>
      <c r="J68" s="56">
        <v>0.7681</v>
      </c>
      <c r="K68" s="57">
        <f t="shared" si="26"/>
        <v>0</v>
      </c>
      <c r="L68" s="57">
        <f t="shared" ref="L68:L131" si="32">ABS(K68)</f>
        <v>0</v>
      </c>
      <c r="M68" s="54">
        <f t="shared" si="27"/>
        <v>-3</v>
      </c>
      <c r="N68" s="57">
        <f t="shared" ref="N68:N131" si="33">ABS(M68)</f>
        <v>3</v>
      </c>
      <c r="O68" s="57">
        <f t="shared" si="28"/>
        <v>0</v>
      </c>
      <c r="P68" s="57">
        <f t="shared" ref="P68:P131" si="34">ABS(O68)</f>
        <v>0</v>
      </c>
      <c r="Q68" s="57" t="str">
        <f t="shared" si="16"/>
        <v>No</v>
      </c>
      <c r="R68" s="54">
        <f t="shared" si="29"/>
        <v>0</v>
      </c>
      <c r="S68" s="58">
        <f t="shared" ref="S68:S131" si="35">ABS(R68)</f>
        <v>0</v>
      </c>
      <c r="AR68" s="61">
        <v>0.7681</v>
      </c>
      <c r="AT68">
        <f t="shared" si="30"/>
        <v>5</v>
      </c>
    </row>
    <row r="69" spans="1:46" x14ac:dyDescent="0.35">
      <c r="A69" s="94"/>
      <c r="B69" s="113" t="s">
        <v>66</v>
      </c>
      <c r="C69" s="44">
        <v>0</v>
      </c>
      <c r="D69" s="47">
        <v>8</v>
      </c>
      <c r="E69" s="47" t="s">
        <v>62</v>
      </c>
      <c r="F69" s="47">
        <v>-10.37</v>
      </c>
      <c r="G69" s="54">
        <v>0</v>
      </c>
      <c r="H69" s="55">
        <v>20</v>
      </c>
      <c r="I69" s="55">
        <f t="shared" si="31"/>
        <v>20</v>
      </c>
      <c r="J69" s="56">
        <v>0.56789999999999996</v>
      </c>
      <c r="K69" s="57">
        <f t="shared" si="26"/>
        <v>-20.020000000000003</v>
      </c>
      <c r="L69" s="57">
        <f t="shared" si="32"/>
        <v>20.020000000000003</v>
      </c>
      <c r="M69" s="54">
        <f t="shared" si="27"/>
        <v>0</v>
      </c>
      <c r="N69" s="57">
        <f t="shared" si="33"/>
        <v>0</v>
      </c>
      <c r="O69" s="57">
        <f t="shared" si="28"/>
        <v>0</v>
      </c>
      <c r="P69" s="57">
        <f t="shared" si="34"/>
        <v>0</v>
      </c>
      <c r="Q69" s="57" t="str">
        <f t="shared" si="16"/>
        <v>No</v>
      </c>
      <c r="R69" s="54">
        <f t="shared" si="29"/>
        <v>-7</v>
      </c>
      <c r="S69" s="58">
        <f t="shared" si="35"/>
        <v>7</v>
      </c>
      <c r="AR69" s="61">
        <v>0.51200000000000001</v>
      </c>
      <c r="AT69">
        <f t="shared" si="30"/>
        <v>7</v>
      </c>
    </row>
    <row r="70" spans="1:46" x14ac:dyDescent="0.35">
      <c r="A70" s="94"/>
      <c r="B70" s="111"/>
      <c r="C70" s="44">
        <v>0.05</v>
      </c>
      <c r="D70" s="47">
        <v>8</v>
      </c>
      <c r="E70" s="47" t="s">
        <v>62</v>
      </c>
      <c r="F70" s="47">
        <v>-10.37</v>
      </c>
      <c r="G70" s="54">
        <v>7</v>
      </c>
      <c r="H70" s="55">
        <v>20</v>
      </c>
      <c r="I70" s="55">
        <f t="shared" si="31"/>
        <v>27</v>
      </c>
      <c r="J70" s="56">
        <v>0.7681</v>
      </c>
      <c r="K70" s="57">
        <f t="shared" si="26"/>
        <v>0</v>
      </c>
      <c r="L70" s="57">
        <f t="shared" si="32"/>
        <v>0</v>
      </c>
      <c r="M70" s="54">
        <f t="shared" si="27"/>
        <v>0</v>
      </c>
      <c r="N70" s="57">
        <f t="shared" si="33"/>
        <v>0</v>
      </c>
      <c r="O70" s="57">
        <f t="shared" si="28"/>
        <v>0</v>
      </c>
      <c r="P70" s="57">
        <f t="shared" si="34"/>
        <v>0</v>
      </c>
      <c r="Q70" s="57" t="str">
        <f t="shared" si="16"/>
        <v>No</v>
      </c>
      <c r="R70" s="54">
        <f t="shared" si="29"/>
        <v>0</v>
      </c>
      <c r="S70" s="58">
        <f t="shared" si="35"/>
        <v>0</v>
      </c>
      <c r="AR70" s="61">
        <v>0.98640000000000005</v>
      </c>
      <c r="AT70">
        <f t="shared" si="30"/>
        <v>4</v>
      </c>
    </row>
    <row r="71" spans="1:46" x14ac:dyDescent="0.35">
      <c r="A71" s="94"/>
      <c r="B71" s="111"/>
      <c r="C71" s="44">
        <v>0.25</v>
      </c>
      <c r="D71" s="47">
        <v>8</v>
      </c>
      <c r="E71" s="47" t="s">
        <v>62</v>
      </c>
      <c r="F71" s="47">
        <v>-10.37</v>
      </c>
      <c r="G71" s="54">
        <v>7</v>
      </c>
      <c r="H71" s="55">
        <v>20</v>
      </c>
      <c r="I71" s="55">
        <f t="shared" si="31"/>
        <v>27</v>
      </c>
      <c r="J71" s="56">
        <v>0.7681</v>
      </c>
      <c r="K71" s="57">
        <f t="shared" si="26"/>
        <v>0</v>
      </c>
      <c r="L71" s="57">
        <f t="shared" si="32"/>
        <v>0</v>
      </c>
      <c r="M71" s="54">
        <f t="shared" si="27"/>
        <v>0</v>
      </c>
      <c r="N71" s="57">
        <f t="shared" si="33"/>
        <v>0</v>
      </c>
      <c r="O71" s="57">
        <f t="shared" si="28"/>
        <v>0</v>
      </c>
      <c r="P71" s="57">
        <f t="shared" si="34"/>
        <v>0</v>
      </c>
      <c r="Q71" s="57" t="str">
        <f t="shared" si="16"/>
        <v>No</v>
      </c>
      <c r="R71" s="54">
        <f t="shared" si="29"/>
        <v>0</v>
      </c>
      <c r="S71" s="58">
        <f t="shared" si="35"/>
        <v>0</v>
      </c>
      <c r="AR71" s="61">
        <v>1</v>
      </c>
      <c r="AT71">
        <f t="shared" si="30"/>
        <v>2</v>
      </c>
    </row>
    <row r="72" spans="1:46" x14ac:dyDescent="0.35">
      <c r="A72" s="94"/>
      <c r="B72" s="111"/>
      <c r="C72" s="44">
        <v>0.35</v>
      </c>
      <c r="D72" s="47">
        <v>8</v>
      </c>
      <c r="E72" s="47" t="s">
        <v>62</v>
      </c>
      <c r="F72" s="47">
        <v>-10.37</v>
      </c>
      <c r="G72" s="54">
        <v>7</v>
      </c>
      <c r="H72" s="55">
        <v>20</v>
      </c>
      <c r="I72" s="55">
        <f t="shared" si="31"/>
        <v>27</v>
      </c>
      <c r="J72" s="56">
        <v>0.7681</v>
      </c>
      <c r="K72" s="57">
        <f t="shared" si="26"/>
        <v>0</v>
      </c>
      <c r="L72" s="57">
        <f t="shared" si="32"/>
        <v>0</v>
      </c>
      <c r="M72" s="54">
        <f t="shared" si="27"/>
        <v>0</v>
      </c>
      <c r="N72" s="57">
        <f t="shared" si="33"/>
        <v>0</v>
      </c>
      <c r="O72" s="57">
        <f t="shared" si="28"/>
        <v>0</v>
      </c>
      <c r="P72" s="57">
        <f t="shared" si="34"/>
        <v>0</v>
      </c>
      <c r="Q72" s="57" t="str">
        <f t="shared" si="16"/>
        <v>No</v>
      </c>
      <c r="R72" s="54">
        <f t="shared" si="29"/>
        <v>0</v>
      </c>
      <c r="S72" s="58">
        <f t="shared" si="35"/>
        <v>0</v>
      </c>
      <c r="AR72" s="61">
        <v>1</v>
      </c>
      <c r="AT72">
        <f t="shared" si="30"/>
        <v>2</v>
      </c>
    </row>
    <row r="73" spans="1:46" x14ac:dyDescent="0.35">
      <c r="A73" s="94"/>
      <c r="B73" s="111"/>
      <c r="C73" s="44">
        <v>0.45</v>
      </c>
      <c r="D73" s="47">
        <v>8</v>
      </c>
      <c r="E73" s="47" t="s">
        <v>62</v>
      </c>
      <c r="F73" s="47">
        <v>-10.37</v>
      </c>
      <c r="G73" s="54">
        <v>7</v>
      </c>
      <c r="H73" s="55">
        <v>20</v>
      </c>
      <c r="I73" s="55">
        <f t="shared" si="31"/>
        <v>27</v>
      </c>
      <c r="J73" s="56">
        <v>0.7681</v>
      </c>
      <c r="K73" s="57">
        <f t="shared" si="26"/>
        <v>0</v>
      </c>
      <c r="L73" s="57">
        <f t="shared" si="32"/>
        <v>0</v>
      </c>
      <c r="M73" s="54">
        <f t="shared" si="27"/>
        <v>0</v>
      </c>
      <c r="N73" s="57">
        <f t="shared" si="33"/>
        <v>0</v>
      </c>
      <c r="O73" s="57">
        <f t="shared" si="28"/>
        <v>0</v>
      </c>
      <c r="P73" s="57">
        <f t="shared" si="34"/>
        <v>0</v>
      </c>
      <c r="Q73" s="57" t="str">
        <f t="shared" si="16"/>
        <v>No</v>
      </c>
      <c r="R73" s="54">
        <f t="shared" si="29"/>
        <v>0</v>
      </c>
      <c r="S73" s="58">
        <f t="shared" si="35"/>
        <v>0</v>
      </c>
    </row>
    <row r="74" spans="1:46" x14ac:dyDescent="0.35">
      <c r="A74" s="94"/>
      <c r="B74" s="112"/>
      <c r="C74" s="44">
        <v>0.55000000000000004</v>
      </c>
      <c r="D74" s="47">
        <v>8</v>
      </c>
      <c r="E74" s="47" t="s">
        <v>62</v>
      </c>
      <c r="F74" s="47">
        <v>-10.37</v>
      </c>
      <c r="G74" s="54">
        <v>7</v>
      </c>
      <c r="H74" s="55">
        <v>20</v>
      </c>
      <c r="I74" s="55">
        <f t="shared" si="31"/>
        <v>27</v>
      </c>
      <c r="J74" s="56">
        <v>0.7681</v>
      </c>
      <c r="K74" s="57">
        <f t="shared" si="26"/>
        <v>0</v>
      </c>
      <c r="L74" s="57">
        <f t="shared" si="32"/>
        <v>0</v>
      </c>
      <c r="M74" s="54">
        <f t="shared" si="27"/>
        <v>0</v>
      </c>
      <c r="N74" s="57">
        <f t="shared" si="33"/>
        <v>0</v>
      </c>
      <c r="O74" s="57">
        <f t="shared" si="28"/>
        <v>0</v>
      </c>
      <c r="P74" s="57">
        <f t="shared" si="34"/>
        <v>0</v>
      </c>
      <c r="Q74" s="57" t="str">
        <f t="shared" si="16"/>
        <v>No</v>
      </c>
      <c r="R74" s="54">
        <f t="shared" si="29"/>
        <v>0</v>
      </c>
      <c r="S74" s="58">
        <f t="shared" si="35"/>
        <v>0</v>
      </c>
      <c r="AR74" s="61" cm="1">
        <f t="array" ref="AR74:AR81">INDEX($J:$J,11+20*_xlfn.SEQUENCE(8,1,0,1))</f>
        <v>0</v>
      </c>
      <c r="AT74">
        <f>_xlfn.RANK.AVG(AR74,$AR$74:$AR$81,0)</f>
        <v>8</v>
      </c>
    </row>
    <row r="75" spans="1:46" x14ac:dyDescent="0.35">
      <c r="A75" s="94"/>
      <c r="B75" s="110" t="s">
        <v>51</v>
      </c>
      <c r="C75" s="44">
        <v>0</v>
      </c>
      <c r="D75" s="47">
        <v>8</v>
      </c>
      <c r="E75" s="47" t="s">
        <v>62</v>
      </c>
      <c r="F75" s="47">
        <v>-11.06</v>
      </c>
      <c r="G75" s="54">
        <v>0</v>
      </c>
      <c r="H75" s="55">
        <v>8</v>
      </c>
      <c r="I75" s="55">
        <f t="shared" si="31"/>
        <v>8</v>
      </c>
      <c r="J75" s="56">
        <v>0.2319</v>
      </c>
      <c r="K75" s="57">
        <f t="shared" si="26"/>
        <v>-53.620000000000005</v>
      </c>
      <c r="L75" s="57">
        <f t="shared" si="32"/>
        <v>53.620000000000005</v>
      </c>
      <c r="M75" s="54">
        <f t="shared" si="27"/>
        <v>0</v>
      </c>
      <c r="N75" s="57">
        <f t="shared" si="33"/>
        <v>0</v>
      </c>
      <c r="O75" s="57">
        <f t="shared" si="28"/>
        <v>-0.69000000000000128</v>
      </c>
      <c r="P75" s="57">
        <f t="shared" si="34"/>
        <v>0.69000000000000128</v>
      </c>
      <c r="Q75" s="57" t="str">
        <f t="shared" si="16"/>
        <v>Yes</v>
      </c>
      <c r="R75" s="54">
        <f t="shared" si="29"/>
        <v>-19</v>
      </c>
      <c r="S75" s="58">
        <f t="shared" si="35"/>
        <v>19</v>
      </c>
      <c r="AR75" s="61">
        <v>1</v>
      </c>
      <c r="AT75">
        <f t="shared" ref="AT75:AT81" si="36">_xlfn.RANK.AVG(AR75,$AR$74:$AR$81,0)</f>
        <v>2</v>
      </c>
    </row>
    <row r="76" spans="1:46" x14ac:dyDescent="0.35">
      <c r="A76" s="94"/>
      <c r="B76" s="111"/>
      <c r="C76" s="44">
        <v>0.05</v>
      </c>
      <c r="D76" s="47">
        <v>8</v>
      </c>
      <c r="E76" s="47" t="s">
        <v>62</v>
      </c>
      <c r="F76" s="47">
        <v>-10.37</v>
      </c>
      <c r="G76" s="54">
        <v>7</v>
      </c>
      <c r="H76" s="55">
        <v>20</v>
      </c>
      <c r="I76" s="55">
        <f t="shared" si="31"/>
        <v>27</v>
      </c>
      <c r="J76" s="56">
        <v>0.7681</v>
      </c>
      <c r="K76" s="57">
        <f t="shared" si="26"/>
        <v>0</v>
      </c>
      <c r="L76" s="57">
        <f t="shared" si="32"/>
        <v>0</v>
      </c>
      <c r="M76" s="54">
        <f t="shared" si="27"/>
        <v>0</v>
      </c>
      <c r="N76" s="57">
        <f t="shared" si="33"/>
        <v>0</v>
      </c>
      <c r="O76" s="57">
        <f t="shared" si="28"/>
        <v>0</v>
      </c>
      <c r="P76" s="57">
        <f t="shared" si="34"/>
        <v>0</v>
      </c>
      <c r="Q76" s="57" t="str">
        <f t="shared" si="16"/>
        <v>No</v>
      </c>
      <c r="R76" s="54">
        <f t="shared" si="29"/>
        <v>0</v>
      </c>
      <c r="S76" s="58">
        <f t="shared" si="35"/>
        <v>0</v>
      </c>
      <c r="AR76" s="61">
        <v>0.6008</v>
      </c>
      <c r="AT76">
        <f t="shared" si="36"/>
        <v>6</v>
      </c>
    </row>
    <row r="77" spans="1:46" x14ac:dyDescent="0.35">
      <c r="A77" s="94"/>
      <c r="B77" s="111"/>
      <c r="C77" s="44">
        <v>0.15</v>
      </c>
      <c r="D77" s="47">
        <v>8</v>
      </c>
      <c r="E77" s="47" t="s">
        <v>62</v>
      </c>
      <c r="F77" s="47">
        <v>-10.37</v>
      </c>
      <c r="G77" s="54">
        <v>7</v>
      </c>
      <c r="H77" s="55">
        <v>20</v>
      </c>
      <c r="I77" s="55">
        <f t="shared" si="31"/>
        <v>27</v>
      </c>
      <c r="J77" s="56">
        <v>0.7681</v>
      </c>
      <c r="K77" s="57">
        <f t="shared" si="26"/>
        <v>0</v>
      </c>
      <c r="L77" s="57">
        <f t="shared" si="32"/>
        <v>0</v>
      </c>
      <c r="M77" s="54">
        <f t="shared" si="27"/>
        <v>0</v>
      </c>
      <c r="N77" s="57">
        <f t="shared" si="33"/>
        <v>0</v>
      </c>
      <c r="O77" s="57">
        <f t="shared" si="28"/>
        <v>0</v>
      </c>
      <c r="P77" s="57">
        <f t="shared" si="34"/>
        <v>0</v>
      </c>
      <c r="Q77" s="57" t="str">
        <f t="shared" si="16"/>
        <v>No</v>
      </c>
      <c r="R77" s="54">
        <f t="shared" si="29"/>
        <v>0</v>
      </c>
      <c r="S77" s="58">
        <f t="shared" si="35"/>
        <v>0</v>
      </c>
      <c r="AR77" s="61">
        <v>0.7681</v>
      </c>
      <c r="AT77">
        <f t="shared" si="36"/>
        <v>5</v>
      </c>
    </row>
    <row r="78" spans="1:46" x14ac:dyDescent="0.35">
      <c r="A78" s="94"/>
      <c r="B78" s="111"/>
      <c r="C78" s="44">
        <v>0.25</v>
      </c>
      <c r="D78" s="47">
        <v>8</v>
      </c>
      <c r="E78" s="47" t="s">
        <v>62</v>
      </c>
      <c r="F78" s="47">
        <v>-10.37</v>
      </c>
      <c r="G78" s="54">
        <v>7</v>
      </c>
      <c r="H78" s="55">
        <v>20</v>
      </c>
      <c r="I78" s="55">
        <f t="shared" si="31"/>
        <v>27</v>
      </c>
      <c r="J78" s="56">
        <v>0.7681</v>
      </c>
      <c r="K78" s="57">
        <f t="shared" si="26"/>
        <v>0</v>
      </c>
      <c r="L78" s="57">
        <f t="shared" si="32"/>
        <v>0</v>
      </c>
      <c r="M78" s="54">
        <f t="shared" si="27"/>
        <v>0</v>
      </c>
      <c r="N78" s="57">
        <f t="shared" si="33"/>
        <v>0</v>
      </c>
      <c r="O78" s="57">
        <f t="shared" si="28"/>
        <v>0</v>
      </c>
      <c r="P78" s="57">
        <f t="shared" si="34"/>
        <v>0</v>
      </c>
      <c r="Q78" s="57" t="str">
        <f t="shared" si="16"/>
        <v>No</v>
      </c>
      <c r="R78" s="54">
        <f t="shared" si="29"/>
        <v>0</v>
      </c>
      <c r="S78" s="58">
        <f t="shared" si="35"/>
        <v>0</v>
      </c>
      <c r="AR78" s="61">
        <v>0.51200000000000001</v>
      </c>
      <c r="AT78">
        <f t="shared" si="36"/>
        <v>7</v>
      </c>
    </row>
    <row r="79" spans="1:46" x14ac:dyDescent="0.35">
      <c r="A79" s="94"/>
      <c r="B79" s="111"/>
      <c r="C79" s="45">
        <v>0.45</v>
      </c>
      <c r="D79" s="47">
        <v>8</v>
      </c>
      <c r="E79" s="47" t="s">
        <v>62</v>
      </c>
      <c r="F79" s="47">
        <v>-10.37</v>
      </c>
      <c r="G79" s="54">
        <v>7</v>
      </c>
      <c r="H79" s="55">
        <v>20</v>
      </c>
      <c r="I79" s="55">
        <f t="shared" si="31"/>
        <v>27</v>
      </c>
      <c r="J79" s="56">
        <v>0.7681</v>
      </c>
      <c r="K79" s="57">
        <f t="shared" si="26"/>
        <v>0</v>
      </c>
      <c r="L79" s="57">
        <f t="shared" si="32"/>
        <v>0</v>
      </c>
      <c r="M79" s="54">
        <f t="shared" si="27"/>
        <v>0</v>
      </c>
      <c r="N79" s="57">
        <f t="shared" si="33"/>
        <v>0</v>
      </c>
      <c r="O79" s="57">
        <f t="shared" si="28"/>
        <v>0</v>
      </c>
      <c r="P79" s="57">
        <f t="shared" si="34"/>
        <v>0</v>
      </c>
      <c r="Q79" s="57" t="str">
        <f t="shared" si="16"/>
        <v>No</v>
      </c>
      <c r="R79" s="54">
        <f t="shared" si="29"/>
        <v>0</v>
      </c>
      <c r="S79" s="58">
        <f t="shared" si="35"/>
        <v>0</v>
      </c>
      <c r="AR79" s="61">
        <v>0.98640000000000005</v>
      </c>
      <c r="AT79">
        <f t="shared" si="36"/>
        <v>4</v>
      </c>
    </row>
    <row r="80" spans="1:46" x14ac:dyDescent="0.35">
      <c r="A80" s="94"/>
      <c r="B80" s="111"/>
      <c r="C80" s="45">
        <v>0.55000000000000004</v>
      </c>
      <c r="D80" s="47">
        <v>8</v>
      </c>
      <c r="E80" s="47" t="s">
        <v>62</v>
      </c>
      <c r="F80" s="47">
        <v>-10.37</v>
      </c>
      <c r="G80" s="54">
        <v>7</v>
      </c>
      <c r="H80" s="55">
        <v>20</v>
      </c>
      <c r="I80" s="55">
        <f t="shared" si="31"/>
        <v>27</v>
      </c>
      <c r="J80" s="56">
        <v>0.7681</v>
      </c>
      <c r="K80" s="57">
        <f t="shared" si="26"/>
        <v>0</v>
      </c>
      <c r="L80" s="57">
        <f t="shared" si="32"/>
        <v>0</v>
      </c>
      <c r="M80" s="54">
        <f t="shared" si="27"/>
        <v>0</v>
      </c>
      <c r="N80" s="57">
        <f t="shared" si="33"/>
        <v>0</v>
      </c>
      <c r="O80" s="57">
        <f t="shared" si="28"/>
        <v>0</v>
      </c>
      <c r="P80" s="57">
        <f t="shared" si="34"/>
        <v>0</v>
      </c>
      <c r="Q80" s="57" t="str">
        <f t="shared" si="16"/>
        <v>No</v>
      </c>
      <c r="R80" s="54">
        <f t="shared" si="29"/>
        <v>0</v>
      </c>
      <c r="S80" s="58">
        <f t="shared" si="35"/>
        <v>0</v>
      </c>
      <c r="AR80" s="61">
        <v>1</v>
      </c>
      <c r="AT80">
        <f t="shared" si="36"/>
        <v>2</v>
      </c>
    </row>
    <row r="81" spans="1:46" x14ac:dyDescent="0.35">
      <c r="A81" s="94"/>
      <c r="B81" s="112"/>
      <c r="C81" s="45">
        <v>0.65</v>
      </c>
      <c r="D81" s="47">
        <v>8</v>
      </c>
      <c r="E81" s="47" t="s">
        <v>62</v>
      </c>
      <c r="F81" s="47">
        <v>-10.37</v>
      </c>
      <c r="G81" s="54">
        <v>7</v>
      </c>
      <c r="H81" s="55">
        <v>20</v>
      </c>
      <c r="I81" s="55">
        <f t="shared" si="31"/>
        <v>27</v>
      </c>
      <c r="J81" s="56">
        <v>0.7681</v>
      </c>
      <c r="K81" s="57">
        <f t="shared" si="26"/>
        <v>0</v>
      </c>
      <c r="L81" s="57">
        <f t="shared" si="32"/>
        <v>0</v>
      </c>
      <c r="M81" s="54">
        <f t="shared" si="27"/>
        <v>0</v>
      </c>
      <c r="N81" s="57">
        <f t="shared" si="33"/>
        <v>0</v>
      </c>
      <c r="O81" s="57">
        <f t="shared" si="28"/>
        <v>0</v>
      </c>
      <c r="P81" s="57">
        <f t="shared" si="34"/>
        <v>0</v>
      </c>
      <c r="Q81" s="57" t="str">
        <f t="shared" si="16"/>
        <v>No</v>
      </c>
      <c r="R81" s="54">
        <f t="shared" si="29"/>
        <v>0</v>
      </c>
      <c r="S81" s="58">
        <f t="shared" si="35"/>
        <v>0</v>
      </c>
      <c r="AR81" s="61">
        <v>1</v>
      </c>
      <c r="AT81">
        <f t="shared" si="36"/>
        <v>2</v>
      </c>
    </row>
    <row r="82" spans="1:46" x14ac:dyDescent="0.35">
      <c r="A82" s="94" t="s">
        <v>9</v>
      </c>
      <c r="B82" s="96" t="s">
        <v>52</v>
      </c>
      <c r="C82" s="96"/>
      <c r="D82" s="46">
        <v>13</v>
      </c>
      <c r="E82" s="46" t="s">
        <v>62</v>
      </c>
      <c r="F82" s="46">
        <v>-7.98</v>
      </c>
      <c r="G82" s="49">
        <v>12</v>
      </c>
      <c r="H82" s="50">
        <v>70</v>
      </c>
      <c r="I82" s="50">
        <f t="shared" si="31"/>
        <v>82</v>
      </c>
      <c r="J82" s="51">
        <v>0.51200000000000001</v>
      </c>
      <c r="K82" s="52" t="s">
        <v>38</v>
      </c>
      <c r="L82" s="52" t="s">
        <v>38</v>
      </c>
      <c r="M82" s="52" t="s">
        <v>38</v>
      </c>
      <c r="N82" s="52" t="s">
        <v>38</v>
      </c>
      <c r="O82" s="52" t="s">
        <v>38</v>
      </c>
      <c r="P82" s="52" t="s">
        <v>38</v>
      </c>
      <c r="Q82" s="52" t="s">
        <v>38</v>
      </c>
      <c r="R82" s="52" t="s">
        <v>38</v>
      </c>
      <c r="S82" s="52" t="s">
        <v>38</v>
      </c>
    </row>
    <row r="83" spans="1:46" x14ac:dyDescent="0.35">
      <c r="A83" s="94"/>
      <c r="B83" s="110" t="s">
        <v>50</v>
      </c>
      <c r="C83" s="47">
        <v>0</v>
      </c>
      <c r="D83" s="47">
        <v>22</v>
      </c>
      <c r="E83" s="47" t="s">
        <v>62</v>
      </c>
      <c r="F83" s="47">
        <v>-7.98</v>
      </c>
      <c r="G83" s="54">
        <v>12</v>
      </c>
      <c r="H83" s="55">
        <v>70</v>
      </c>
      <c r="I83" s="55">
        <f t="shared" si="31"/>
        <v>82</v>
      </c>
      <c r="J83" s="56">
        <v>0.51200000000000001</v>
      </c>
      <c r="K83" s="57">
        <f>(J83-$J$82)*100</f>
        <v>0</v>
      </c>
      <c r="L83" s="57">
        <f t="shared" si="32"/>
        <v>0</v>
      </c>
      <c r="M83" s="54">
        <f>D83-$D$82</f>
        <v>9</v>
      </c>
      <c r="N83" s="57">
        <f t="shared" si="33"/>
        <v>9</v>
      </c>
      <c r="O83" s="57">
        <f>F83-$F$82</f>
        <v>0</v>
      </c>
      <c r="P83" s="57">
        <f t="shared" si="34"/>
        <v>0</v>
      </c>
      <c r="Q83" s="57" t="str">
        <f t="shared" si="16"/>
        <v>No</v>
      </c>
      <c r="R83" s="54">
        <f>I83-$I$82</f>
        <v>0</v>
      </c>
      <c r="S83" s="58">
        <f t="shared" si="35"/>
        <v>0</v>
      </c>
      <c r="AR83" s="61" cm="1">
        <f t="array" ref="AR83:AR90">INDEX($J:$J,12+20*_xlfn.SEQUENCE(8,1,0,1))</f>
        <v>0</v>
      </c>
      <c r="AT83">
        <f>_xlfn.RANK.AVG(AR83,$AR$83:$AR$90,0)</f>
        <v>8</v>
      </c>
    </row>
    <row r="84" spans="1:46" x14ac:dyDescent="0.35">
      <c r="A84" s="94"/>
      <c r="B84" s="111"/>
      <c r="C84" s="39">
        <v>0.05</v>
      </c>
      <c r="D84" s="47">
        <v>15</v>
      </c>
      <c r="E84" s="47" t="s">
        <v>62</v>
      </c>
      <c r="F84" s="47">
        <v>-7.98</v>
      </c>
      <c r="G84" s="54">
        <v>12</v>
      </c>
      <c r="H84" s="55">
        <v>70</v>
      </c>
      <c r="I84" s="55">
        <f t="shared" si="31"/>
        <v>82</v>
      </c>
      <c r="J84" s="56">
        <v>0.51200000000000001</v>
      </c>
      <c r="K84" s="57">
        <f t="shared" ref="K84:K101" si="37">(J84-$J$82)*100</f>
        <v>0</v>
      </c>
      <c r="L84" s="57">
        <f t="shared" si="32"/>
        <v>0</v>
      </c>
      <c r="M84" s="54">
        <f t="shared" ref="M84:M101" si="38">D84-$D$82</f>
        <v>2</v>
      </c>
      <c r="N84" s="57">
        <f t="shared" si="33"/>
        <v>2</v>
      </c>
      <c r="O84" s="57">
        <f t="shared" ref="O84:O101" si="39">F84-$F$82</f>
        <v>0</v>
      </c>
      <c r="P84" s="57">
        <f t="shared" si="34"/>
        <v>0</v>
      </c>
      <c r="Q84" s="57" t="str">
        <f t="shared" si="16"/>
        <v>No</v>
      </c>
      <c r="R84" s="54">
        <f t="shared" ref="R84:R101" si="40">I84-$I$82</f>
        <v>0</v>
      </c>
      <c r="S84" s="58">
        <f t="shared" si="35"/>
        <v>0</v>
      </c>
      <c r="AR84" s="61">
        <v>1</v>
      </c>
      <c r="AT84">
        <f t="shared" ref="AT84:AT90" si="41">_xlfn.RANK.AVG(AR84,$AR$83:$AR$90,0)</f>
        <v>2</v>
      </c>
    </row>
    <row r="85" spans="1:46" x14ac:dyDescent="0.35">
      <c r="A85" s="94"/>
      <c r="B85" s="111"/>
      <c r="C85" s="39">
        <v>0.25</v>
      </c>
      <c r="D85" s="47">
        <v>13</v>
      </c>
      <c r="E85" s="47" t="s">
        <v>62</v>
      </c>
      <c r="F85" s="47">
        <v>-7.98</v>
      </c>
      <c r="G85" s="54">
        <v>12</v>
      </c>
      <c r="H85" s="55">
        <v>70</v>
      </c>
      <c r="I85" s="55">
        <f t="shared" si="31"/>
        <v>82</v>
      </c>
      <c r="J85" s="56">
        <v>0.51200000000000001</v>
      </c>
      <c r="K85" s="57">
        <f t="shared" si="37"/>
        <v>0</v>
      </c>
      <c r="L85" s="57">
        <f t="shared" si="32"/>
        <v>0</v>
      </c>
      <c r="M85" s="54">
        <f t="shared" si="38"/>
        <v>0</v>
      </c>
      <c r="N85" s="57">
        <f t="shared" si="33"/>
        <v>0</v>
      </c>
      <c r="O85" s="57">
        <f t="shared" si="39"/>
        <v>0</v>
      </c>
      <c r="P85" s="57">
        <f t="shared" si="34"/>
        <v>0</v>
      </c>
      <c r="Q85" s="57" t="str">
        <f t="shared" si="16"/>
        <v>No</v>
      </c>
      <c r="R85" s="54">
        <f t="shared" si="40"/>
        <v>0</v>
      </c>
      <c r="S85" s="58">
        <f t="shared" si="35"/>
        <v>0</v>
      </c>
      <c r="AR85" s="61">
        <v>0.6008</v>
      </c>
      <c r="AT85">
        <f t="shared" si="41"/>
        <v>6</v>
      </c>
    </row>
    <row r="86" spans="1:46" x14ac:dyDescent="0.35">
      <c r="A86" s="94"/>
      <c r="B86" s="111"/>
      <c r="C86" s="39">
        <v>0.35</v>
      </c>
      <c r="D86" s="47">
        <v>12</v>
      </c>
      <c r="E86" s="47" t="s">
        <v>62</v>
      </c>
      <c r="F86" s="47">
        <v>-7.98</v>
      </c>
      <c r="G86" s="54">
        <v>12</v>
      </c>
      <c r="H86" s="55">
        <v>70</v>
      </c>
      <c r="I86" s="55">
        <f t="shared" si="31"/>
        <v>82</v>
      </c>
      <c r="J86" s="56">
        <v>0.51200000000000001</v>
      </c>
      <c r="K86" s="57">
        <f t="shared" si="37"/>
        <v>0</v>
      </c>
      <c r="L86" s="57">
        <f t="shared" si="32"/>
        <v>0</v>
      </c>
      <c r="M86" s="54">
        <f t="shared" si="38"/>
        <v>-1</v>
      </c>
      <c r="N86" s="57">
        <f t="shared" si="33"/>
        <v>1</v>
      </c>
      <c r="O86" s="57">
        <f t="shared" si="39"/>
        <v>0</v>
      </c>
      <c r="P86" s="57">
        <f t="shared" si="34"/>
        <v>0</v>
      </c>
      <c r="Q86" s="57" t="str">
        <f t="shared" si="16"/>
        <v>No</v>
      </c>
      <c r="R86" s="54">
        <f t="shared" si="40"/>
        <v>0</v>
      </c>
      <c r="S86" s="58">
        <f t="shared" si="35"/>
        <v>0</v>
      </c>
      <c r="AR86" s="61">
        <v>0.7681</v>
      </c>
      <c r="AT86">
        <f t="shared" si="41"/>
        <v>5</v>
      </c>
    </row>
    <row r="87" spans="1:46" x14ac:dyDescent="0.35">
      <c r="A87" s="94"/>
      <c r="B87" s="111"/>
      <c r="C87" s="44">
        <v>0.45</v>
      </c>
      <c r="D87" s="47">
        <v>12</v>
      </c>
      <c r="E87" s="47" t="s">
        <v>62</v>
      </c>
      <c r="F87" s="47">
        <v>-7.98</v>
      </c>
      <c r="G87" s="54">
        <v>12</v>
      </c>
      <c r="H87" s="55">
        <v>70</v>
      </c>
      <c r="I87" s="55">
        <f t="shared" si="31"/>
        <v>82</v>
      </c>
      <c r="J87" s="56">
        <v>0.51200000000000001</v>
      </c>
      <c r="K87" s="57">
        <f t="shared" si="37"/>
        <v>0</v>
      </c>
      <c r="L87" s="57">
        <f t="shared" si="32"/>
        <v>0</v>
      </c>
      <c r="M87" s="54">
        <f t="shared" si="38"/>
        <v>-1</v>
      </c>
      <c r="N87" s="57">
        <f t="shared" si="33"/>
        <v>1</v>
      </c>
      <c r="O87" s="57">
        <f t="shared" si="39"/>
        <v>0</v>
      </c>
      <c r="P87" s="57">
        <f t="shared" si="34"/>
        <v>0</v>
      </c>
      <c r="Q87" s="57" t="str">
        <f t="shared" si="16"/>
        <v>No</v>
      </c>
      <c r="R87" s="54">
        <f t="shared" si="40"/>
        <v>0</v>
      </c>
      <c r="S87" s="58">
        <f t="shared" si="35"/>
        <v>0</v>
      </c>
      <c r="AR87" s="61">
        <v>0.51200000000000001</v>
      </c>
      <c r="AT87">
        <f t="shared" si="41"/>
        <v>7</v>
      </c>
    </row>
    <row r="88" spans="1:46" x14ac:dyDescent="0.35">
      <c r="A88" s="94"/>
      <c r="B88" s="112"/>
      <c r="C88" s="44">
        <v>0.55000000000000004</v>
      </c>
      <c r="D88" s="47">
        <v>12</v>
      </c>
      <c r="E88" s="47" t="s">
        <v>62</v>
      </c>
      <c r="F88" s="47">
        <v>-7.98</v>
      </c>
      <c r="G88" s="54">
        <v>12</v>
      </c>
      <c r="H88" s="55">
        <v>70</v>
      </c>
      <c r="I88" s="55">
        <f t="shared" si="31"/>
        <v>82</v>
      </c>
      <c r="J88" s="56">
        <v>0.51200000000000001</v>
      </c>
      <c r="K88" s="57">
        <f t="shared" si="37"/>
        <v>0</v>
      </c>
      <c r="L88" s="57">
        <f t="shared" si="32"/>
        <v>0</v>
      </c>
      <c r="M88" s="54">
        <f t="shared" si="38"/>
        <v>-1</v>
      </c>
      <c r="N88" s="57">
        <f t="shared" si="33"/>
        <v>1</v>
      </c>
      <c r="O88" s="57">
        <f t="shared" si="39"/>
        <v>0</v>
      </c>
      <c r="P88" s="57">
        <f t="shared" si="34"/>
        <v>0</v>
      </c>
      <c r="Q88" s="57" t="str">
        <f t="shared" ref="Q88:Q151" si="42">IF(P88=0,"No","Yes")</f>
        <v>No</v>
      </c>
      <c r="R88" s="54">
        <f t="shared" si="40"/>
        <v>0</v>
      </c>
      <c r="S88" s="58">
        <f t="shared" si="35"/>
        <v>0</v>
      </c>
      <c r="AR88" s="61">
        <v>0.98640000000000005</v>
      </c>
      <c r="AT88">
        <f t="shared" si="41"/>
        <v>4</v>
      </c>
    </row>
    <row r="89" spans="1:46" x14ac:dyDescent="0.35">
      <c r="A89" s="94"/>
      <c r="B89" s="113" t="s">
        <v>66</v>
      </c>
      <c r="C89" s="44">
        <v>0</v>
      </c>
      <c r="D89" s="47">
        <v>13</v>
      </c>
      <c r="E89" s="47" t="s">
        <v>62</v>
      </c>
      <c r="F89" s="47">
        <v>-7.98</v>
      </c>
      <c r="G89" s="54">
        <v>12</v>
      </c>
      <c r="H89" s="55">
        <v>70</v>
      </c>
      <c r="I89" s="55">
        <f t="shared" si="31"/>
        <v>82</v>
      </c>
      <c r="J89" s="56">
        <v>0.51200000000000001</v>
      </c>
      <c r="K89" s="57">
        <f t="shared" si="37"/>
        <v>0</v>
      </c>
      <c r="L89" s="57">
        <f t="shared" si="32"/>
        <v>0</v>
      </c>
      <c r="M89" s="54">
        <f t="shared" si="38"/>
        <v>0</v>
      </c>
      <c r="N89" s="57">
        <f t="shared" si="33"/>
        <v>0</v>
      </c>
      <c r="O89" s="57">
        <f t="shared" si="39"/>
        <v>0</v>
      </c>
      <c r="P89" s="57">
        <f t="shared" si="34"/>
        <v>0</v>
      </c>
      <c r="Q89" s="57" t="str">
        <f t="shared" si="42"/>
        <v>No</v>
      </c>
      <c r="R89" s="54">
        <f t="shared" si="40"/>
        <v>0</v>
      </c>
      <c r="S89" s="58">
        <f t="shared" si="35"/>
        <v>0</v>
      </c>
      <c r="AR89" s="61">
        <v>1</v>
      </c>
      <c r="AT89">
        <f t="shared" si="41"/>
        <v>2</v>
      </c>
    </row>
    <row r="90" spans="1:46" x14ac:dyDescent="0.35">
      <c r="A90" s="94"/>
      <c r="B90" s="111"/>
      <c r="C90" s="44">
        <v>0.05</v>
      </c>
      <c r="D90" s="47">
        <v>13</v>
      </c>
      <c r="E90" s="47" t="s">
        <v>62</v>
      </c>
      <c r="F90" s="47">
        <v>-7.98</v>
      </c>
      <c r="G90" s="54">
        <v>12</v>
      </c>
      <c r="H90" s="55">
        <v>70</v>
      </c>
      <c r="I90" s="55">
        <f t="shared" si="31"/>
        <v>82</v>
      </c>
      <c r="J90" s="56">
        <v>0.51200000000000001</v>
      </c>
      <c r="K90" s="57">
        <f t="shared" si="37"/>
        <v>0</v>
      </c>
      <c r="L90" s="57">
        <f t="shared" si="32"/>
        <v>0</v>
      </c>
      <c r="M90" s="54">
        <f t="shared" si="38"/>
        <v>0</v>
      </c>
      <c r="N90" s="57">
        <f t="shared" si="33"/>
        <v>0</v>
      </c>
      <c r="O90" s="57">
        <f t="shared" si="39"/>
        <v>0</v>
      </c>
      <c r="P90" s="57">
        <f t="shared" si="34"/>
        <v>0</v>
      </c>
      <c r="Q90" s="57" t="str">
        <f t="shared" si="42"/>
        <v>No</v>
      </c>
      <c r="R90" s="54">
        <f t="shared" si="40"/>
        <v>0</v>
      </c>
      <c r="S90" s="58">
        <f t="shared" si="35"/>
        <v>0</v>
      </c>
      <c r="AR90" s="61">
        <v>1</v>
      </c>
      <c r="AT90">
        <f t="shared" si="41"/>
        <v>2</v>
      </c>
    </row>
    <row r="91" spans="1:46" x14ac:dyDescent="0.35">
      <c r="A91" s="94"/>
      <c r="B91" s="111"/>
      <c r="C91" s="44">
        <v>0.25</v>
      </c>
      <c r="D91" s="47">
        <v>13</v>
      </c>
      <c r="E91" s="47" t="s">
        <v>62</v>
      </c>
      <c r="F91" s="47">
        <v>-7.98</v>
      </c>
      <c r="G91" s="54">
        <v>12</v>
      </c>
      <c r="H91" s="55">
        <v>70</v>
      </c>
      <c r="I91" s="55">
        <f t="shared" si="31"/>
        <v>82</v>
      </c>
      <c r="J91" s="56">
        <v>0.51200000000000001</v>
      </c>
      <c r="K91" s="57">
        <f t="shared" si="37"/>
        <v>0</v>
      </c>
      <c r="L91" s="57">
        <f t="shared" si="32"/>
        <v>0</v>
      </c>
      <c r="M91" s="54">
        <f t="shared" si="38"/>
        <v>0</v>
      </c>
      <c r="N91" s="57">
        <f t="shared" si="33"/>
        <v>0</v>
      </c>
      <c r="O91" s="57">
        <f t="shared" si="39"/>
        <v>0</v>
      </c>
      <c r="P91" s="57">
        <f t="shared" si="34"/>
        <v>0</v>
      </c>
      <c r="Q91" s="57" t="str">
        <f t="shared" si="42"/>
        <v>No</v>
      </c>
      <c r="R91" s="54">
        <f t="shared" si="40"/>
        <v>0</v>
      </c>
      <c r="S91" s="58">
        <f t="shared" si="35"/>
        <v>0</v>
      </c>
    </row>
    <row r="92" spans="1:46" x14ac:dyDescent="0.35">
      <c r="A92" s="94"/>
      <c r="B92" s="111"/>
      <c r="C92" s="44">
        <v>0.35</v>
      </c>
      <c r="D92" s="47">
        <v>13</v>
      </c>
      <c r="E92" s="47" t="s">
        <v>62</v>
      </c>
      <c r="F92" s="47">
        <v>-7.98</v>
      </c>
      <c r="G92" s="54">
        <v>12</v>
      </c>
      <c r="H92" s="55">
        <v>70</v>
      </c>
      <c r="I92" s="55">
        <f t="shared" si="31"/>
        <v>82</v>
      </c>
      <c r="J92" s="56">
        <v>0.51200000000000001</v>
      </c>
      <c r="K92" s="57">
        <f t="shared" si="37"/>
        <v>0</v>
      </c>
      <c r="L92" s="57">
        <f t="shared" si="32"/>
        <v>0</v>
      </c>
      <c r="M92" s="54">
        <f t="shared" si="38"/>
        <v>0</v>
      </c>
      <c r="N92" s="57">
        <f t="shared" si="33"/>
        <v>0</v>
      </c>
      <c r="O92" s="57">
        <f t="shared" si="39"/>
        <v>0</v>
      </c>
      <c r="P92" s="57">
        <f t="shared" si="34"/>
        <v>0</v>
      </c>
      <c r="Q92" s="57" t="str">
        <f t="shared" si="42"/>
        <v>No</v>
      </c>
      <c r="R92" s="54">
        <f t="shared" si="40"/>
        <v>0</v>
      </c>
      <c r="S92" s="58">
        <f t="shared" si="35"/>
        <v>0</v>
      </c>
      <c r="AR92" s="61" cm="1">
        <f t="array" ref="AR92:AR99">INDEX($J:$J,13+20*_xlfn.SEQUENCE(8,1,0,1))</f>
        <v>0</v>
      </c>
      <c r="AT92">
        <f>_xlfn.RANK.AVG(AR92,$AR$92:$AR$99,0)</f>
        <v>8</v>
      </c>
    </row>
    <row r="93" spans="1:46" x14ac:dyDescent="0.35">
      <c r="A93" s="94"/>
      <c r="B93" s="111"/>
      <c r="C93" s="44">
        <v>0.45</v>
      </c>
      <c r="D93" s="47">
        <v>13</v>
      </c>
      <c r="E93" s="47" t="s">
        <v>62</v>
      </c>
      <c r="F93" s="47">
        <v>-7.98</v>
      </c>
      <c r="G93" s="54">
        <v>12</v>
      </c>
      <c r="H93" s="55">
        <v>70</v>
      </c>
      <c r="I93" s="55">
        <f t="shared" si="31"/>
        <v>82</v>
      </c>
      <c r="J93" s="56">
        <v>0.51200000000000001</v>
      </c>
      <c r="K93" s="57">
        <f t="shared" si="37"/>
        <v>0</v>
      </c>
      <c r="L93" s="57">
        <f t="shared" si="32"/>
        <v>0</v>
      </c>
      <c r="M93" s="54">
        <f t="shared" si="38"/>
        <v>0</v>
      </c>
      <c r="N93" s="57">
        <f t="shared" si="33"/>
        <v>0</v>
      </c>
      <c r="O93" s="57">
        <f t="shared" si="39"/>
        <v>0</v>
      </c>
      <c r="P93" s="57">
        <f t="shared" si="34"/>
        <v>0</v>
      </c>
      <c r="Q93" s="57" t="str">
        <f t="shared" si="42"/>
        <v>No</v>
      </c>
      <c r="R93" s="54">
        <f t="shared" si="40"/>
        <v>0</v>
      </c>
      <c r="S93" s="58">
        <f t="shared" si="35"/>
        <v>0</v>
      </c>
      <c r="AR93" s="61">
        <v>1</v>
      </c>
      <c r="AT93">
        <f t="shared" ref="AT93:AT99" si="43">_xlfn.RANK.AVG(AR93,$AR$92:$AR$99,0)</f>
        <v>2</v>
      </c>
    </row>
    <row r="94" spans="1:46" x14ac:dyDescent="0.35">
      <c r="A94" s="94"/>
      <c r="B94" s="112"/>
      <c r="C94" s="44">
        <v>0.55000000000000004</v>
      </c>
      <c r="D94" s="47">
        <v>13</v>
      </c>
      <c r="E94" s="47" t="s">
        <v>62</v>
      </c>
      <c r="F94" s="47">
        <v>-7.98</v>
      </c>
      <c r="G94" s="54">
        <v>12</v>
      </c>
      <c r="H94" s="55">
        <v>70</v>
      </c>
      <c r="I94" s="55">
        <f t="shared" si="31"/>
        <v>82</v>
      </c>
      <c r="J94" s="56">
        <v>0.51200000000000001</v>
      </c>
      <c r="K94" s="57">
        <f t="shared" si="37"/>
        <v>0</v>
      </c>
      <c r="L94" s="57">
        <f t="shared" si="32"/>
        <v>0</v>
      </c>
      <c r="M94" s="54">
        <f t="shared" si="38"/>
        <v>0</v>
      </c>
      <c r="N94" s="57">
        <f t="shared" si="33"/>
        <v>0</v>
      </c>
      <c r="O94" s="57">
        <f t="shared" si="39"/>
        <v>0</v>
      </c>
      <c r="P94" s="57">
        <f t="shared" si="34"/>
        <v>0</v>
      </c>
      <c r="Q94" s="57" t="str">
        <f t="shared" si="42"/>
        <v>No</v>
      </c>
      <c r="R94" s="54">
        <f t="shared" si="40"/>
        <v>0</v>
      </c>
      <c r="S94" s="58">
        <f t="shared" si="35"/>
        <v>0</v>
      </c>
      <c r="AR94" s="61">
        <v>0.6008</v>
      </c>
      <c r="AT94">
        <f t="shared" si="43"/>
        <v>6</v>
      </c>
    </row>
    <row r="95" spans="1:46" x14ac:dyDescent="0.35">
      <c r="A95" s="94"/>
      <c r="B95" s="110" t="s">
        <v>51</v>
      </c>
      <c r="C95" s="44">
        <v>0</v>
      </c>
      <c r="D95" s="47">
        <v>13</v>
      </c>
      <c r="E95" s="47" t="s">
        <v>62</v>
      </c>
      <c r="F95" s="47">
        <v>-2.4300000000000002</v>
      </c>
      <c r="G95" s="54">
        <v>0</v>
      </c>
      <c r="H95" s="55">
        <v>2</v>
      </c>
      <c r="I95" s="55">
        <f t="shared" si="31"/>
        <v>2</v>
      </c>
      <c r="J95" s="56">
        <v>3.04E-2</v>
      </c>
      <c r="K95" s="57">
        <f t="shared" si="37"/>
        <v>-48.160000000000004</v>
      </c>
      <c r="L95" s="57">
        <f t="shared" si="32"/>
        <v>48.160000000000004</v>
      </c>
      <c r="M95" s="54">
        <f t="shared" si="38"/>
        <v>0</v>
      </c>
      <c r="N95" s="57">
        <f t="shared" si="33"/>
        <v>0</v>
      </c>
      <c r="O95" s="57">
        <f t="shared" si="39"/>
        <v>5.5500000000000007</v>
      </c>
      <c r="P95" s="57">
        <f t="shared" si="34"/>
        <v>5.5500000000000007</v>
      </c>
      <c r="Q95" s="57" t="str">
        <f t="shared" si="42"/>
        <v>Yes</v>
      </c>
      <c r="R95" s="54">
        <f t="shared" si="40"/>
        <v>-80</v>
      </c>
      <c r="S95" s="58">
        <f t="shared" si="35"/>
        <v>80</v>
      </c>
      <c r="AR95" s="61">
        <v>0.7681</v>
      </c>
      <c r="AT95">
        <f t="shared" si="43"/>
        <v>5</v>
      </c>
    </row>
    <row r="96" spans="1:46" x14ac:dyDescent="0.35">
      <c r="A96" s="94"/>
      <c r="B96" s="111"/>
      <c r="C96" s="44">
        <v>0.05</v>
      </c>
      <c r="D96" s="47">
        <v>13</v>
      </c>
      <c r="E96" s="47" t="s">
        <v>62</v>
      </c>
      <c r="F96" s="47">
        <v>-2.4300000000000002</v>
      </c>
      <c r="G96" s="54">
        <v>0</v>
      </c>
      <c r="H96" s="55">
        <v>24</v>
      </c>
      <c r="I96" s="55">
        <f t="shared" si="31"/>
        <v>24</v>
      </c>
      <c r="J96" s="56">
        <v>0.1643</v>
      </c>
      <c r="K96" s="57">
        <f t="shared" si="37"/>
        <v>-34.770000000000003</v>
      </c>
      <c r="L96" s="57">
        <f t="shared" si="32"/>
        <v>34.770000000000003</v>
      </c>
      <c r="M96" s="54">
        <f t="shared" si="38"/>
        <v>0</v>
      </c>
      <c r="N96" s="57">
        <f t="shared" si="33"/>
        <v>0</v>
      </c>
      <c r="O96" s="57">
        <f t="shared" si="39"/>
        <v>5.5500000000000007</v>
      </c>
      <c r="P96" s="57">
        <f t="shared" si="34"/>
        <v>5.5500000000000007</v>
      </c>
      <c r="Q96" s="57" t="str">
        <f t="shared" si="42"/>
        <v>Yes</v>
      </c>
      <c r="R96" s="54">
        <f t="shared" si="40"/>
        <v>-58</v>
      </c>
      <c r="S96" s="58">
        <f t="shared" si="35"/>
        <v>58</v>
      </c>
      <c r="AR96" s="61">
        <v>0.51200000000000001</v>
      </c>
      <c r="AT96">
        <f t="shared" si="43"/>
        <v>7</v>
      </c>
    </row>
    <row r="97" spans="1:46" x14ac:dyDescent="0.35">
      <c r="A97" s="94"/>
      <c r="B97" s="111"/>
      <c r="C97" s="44">
        <v>0.15</v>
      </c>
      <c r="D97" s="47">
        <v>13</v>
      </c>
      <c r="E97" s="47" t="s">
        <v>62</v>
      </c>
      <c r="F97" s="47">
        <v>-7.98</v>
      </c>
      <c r="G97" s="54">
        <v>12</v>
      </c>
      <c r="H97" s="55">
        <v>70</v>
      </c>
      <c r="I97" s="55">
        <f t="shared" si="31"/>
        <v>82</v>
      </c>
      <c r="J97" s="56">
        <v>0.51200000000000001</v>
      </c>
      <c r="K97" s="57">
        <f t="shared" si="37"/>
        <v>0</v>
      </c>
      <c r="L97" s="57">
        <f t="shared" si="32"/>
        <v>0</v>
      </c>
      <c r="M97" s="54">
        <f t="shared" si="38"/>
        <v>0</v>
      </c>
      <c r="N97" s="57">
        <f t="shared" si="33"/>
        <v>0</v>
      </c>
      <c r="O97" s="57">
        <f t="shared" si="39"/>
        <v>0</v>
      </c>
      <c r="P97" s="57">
        <f t="shared" si="34"/>
        <v>0</v>
      </c>
      <c r="Q97" s="57" t="str">
        <f t="shared" si="42"/>
        <v>No</v>
      </c>
      <c r="R97" s="54">
        <f t="shared" si="40"/>
        <v>0</v>
      </c>
      <c r="S97" s="58">
        <f t="shared" si="35"/>
        <v>0</v>
      </c>
      <c r="AR97" s="61">
        <v>0.98640000000000005</v>
      </c>
      <c r="AT97">
        <f t="shared" si="43"/>
        <v>4</v>
      </c>
    </row>
    <row r="98" spans="1:46" x14ac:dyDescent="0.35">
      <c r="A98" s="94"/>
      <c r="B98" s="111"/>
      <c r="C98" s="44">
        <v>0.25</v>
      </c>
      <c r="D98" s="47">
        <v>13</v>
      </c>
      <c r="E98" s="47" t="s">
        <v>62</v>
      </c>
      <c r="F98" s="47">
        <v>-7.98</v>
      </c>
      <c r="G98" s="54">
        <v>12</v>
      </c>
      <c r="H98" s="55">
        <v>70</v>
      </c>
      <c r="I98" s="55">
        <f t="shared" si="31"/>
        <v>82</v>
      </c>
      <c r="J98" s="56">
        <v>0.51200000000000001</v>
      </c>
      <c r="K98" s="57">
        <f t="shared" si="37"/>
        <v>0</v>
      </c>
      <c r="L98" s="57">
        <f t="shared" si="32"/>
        <v>0</v>
      </c>
      <c r="M98" s="54">
        <f t="shared" si="38"/>
        <v>0</v>
      </c>
      <c r="N98" s="57">
        <f t="shared" si="33"/>
        <v>0</v>
      </c>
      <c r="O98" s="57">
        <f t="shared" si="39"/>
        <v>0</v>
      </c>
      <c r="P98" s="57">
        <f t="shared" si="34"/>
        <v>0</v>
      </c>
      <c r="Q98" s="57" t="str">
        <f t="shared" si="42"/>
        <v>No</v>
      </c>
      <c r="R98" s="54">
        <f t="shared" si="40"/>
        <v>0</v>
      </c>
      <c r="S98" s="58">
        <f t="shared" si="35"/>
        <v>0</v>
      </c>
      <c r="AR98" s="61">
        <v>1</v>
      </c>
      <c r="AT98">
        <f t="shared" si="43"/>
        <v>2</v>
      </c>
    </row>
    <row r="99" spans="1:46" x14ac:dyDescent="0.35">
      <c r="A99" s="94"/>
      <c r="B99" s="111"/>
      <c r="C99" s="45">
        <v>0.45</v>
      </c>
      <c r="D99" s="47">
        <v>13</v>
      </c>
      <c r="E99" s="47" t="s">
        <v>62</v>
      </c>
      <c r="F99" s="47">
        <v>-7.98</v>
      </c>
      <c r="G99" s="54">
        <v>12</v>
      </c>
      <c r="H99" s="55">
        <v>70</v>
      </c>
      <c r="I99" s="55">
        <f t="shared" si="31"/>
        <v>82</v>
      </c>
      <c r="J99" s="56">
        <v>0.51200000000000001</v>
      </c>
      <c r="K99" s="57">
        <f t="shared" si="37"/>
        <v>0</v>
      </c>
      <c r="L99" s="57">
        <f t="shared" si="32"/>
        <v>0</v>
      </c>
      <c r="M99" s="54">
        <f t="shared" si="38"/>
        <v>0</v>
      </c>
      <c r="N99" s="57">
        <f t="shared" si="33"/>
        <v>0</v>
      </c>
      <c r="O99" s="57">
        <f t="shared" si="39"/>
        <v>0</v>
      </c>
      <c r="P99" s="57">
        <f t="shared" si="34"/>
        <v>0</v>
      </c>
      <c r="Q99" s="57" t="str">
        <f t="shared" si="42"/>
        <v>No</v>
      </c>
      <c r="R99" s="54">
        <f t="shared" si="40"/>
        <v>0</v>
      </c>
      <c r="S99" s="58">
        <f t="shared" si="35"/>
        <v>0</v>
      </c>
      <c r="AR99" s="61">
        <v>1</v>
      </c>
      <c r="AT99">
        <f t="shared" si="43"/>
        <v>2</v>
      </c>
    </row>
    <row r="100" spans="1:46" x14ac:dyDescent="0.35">
      <c r="A100" s="94"/>
      <c r="B100" s="111"/>
      <c r="C100" s="45">
        <v>0.55000000000000004</v>
      </c>
      <c r="D100" s="47">
        <v>13</v>
      </c>
      <c r="E100" s="47" t="s">
        <v>62</v>
      </c>
      <c r="F100" s="47">
        <v>-7.98</v>
      </c>
      <c r="G100" s="54">
        <v>12</v>
      </c>
      <c r="H100" s="55">
        <v>70</v>
      </c>
      <c r="I100" s="55">
        <f t="shared" si="31"/>
        <v>82</v>
      </c>
      <c r="J100" s="56">
        <v>0.51200000000000001</v>
      </c>
      <c r="K100" s="57">
        <f t="shared" si="37"/>
        <v>0</v>
      </c>
      <c r="L100" s="57">
        <f t="shared" si="32"/>
        <v>0</v>
      </c>
      <c r="M100" s="54">
        <f t="shared" si="38"/>
        <v>0</v>
      </c>
      <c r="N100" s="57">
        <f t="shared" si="33"/>
        <v>0</v>
      </c>
      <c r="O100" s="57">
        <f t="shared" si="39"/>
        <v>0</v>
      </c>
      <c r="P100" s="57">
        <f t="shared" si="34"/>
        <v>0</v>
      </c>
      <c r="Q100" s="57" t="str">
        <f t="shared" si="42"/>
        <v>No</v>
      </c>
      <c r="R100" s="54">
        <f t="shared" si="40"/>
        <v>0</v>
      </c>
      <c r="S100" s="58">
        <f t="shared" si="35"/>
        <v>0</v>
      </c>
    </row>
    <row r="101" spans="1:46" x14ac:dyDescent="0.35">
      <c r="A101" s="94"/>
      <c r="B101" s="112"/>
      <c r="C101" s="45">
        <v>0.65</v>
      </c>
      <c r="D101" s="47">
        <v>13</v>
      </c>
      <c r="E101" s="47" t="s">
        <v>62</v>
      </c>
      <c r="F101" s="47">
        <v>-7.98</v>
      </c>
      <c r="G101" s="54">
        <v>12</v>
      </c>
      <c r="H101" s="55">
        <v>70</v>
      </c>
      <c r="I101" s="55">
        <f t="shared" si="31"/>
        <v>82</v>
      </c>
      <c r="J101" s="56">
        <v>0.51200000000000001</v>
      </c>
      <c r="K101" s="57">
        <f t="shared" si="37"/>
        <v>0</v>
      </c>
      <c r="L101" s="57">
        <f t="shared" si="32"/>
        <v>0</v>
      </c>
      <c r="M101" s="54">
        <f t="shared" si="38"/>
        <v>0</v>
      </c>
      <c r="N101" s="57">
        <f t="shared" si="33"/>
        <v>0</v>
      </c>
      <c r="O101" s="57">
        <f t="shared" si="39"/>
        <v>0</v>
      </c>
      <c r="P101" s="57">
        <f t="shared" si="34"/>
        <v>0</v>
      </c>
      <c r="Q101" s="57" t="str">
        <f t="shared" si="42"/>
        <v>No</v>
      </c>
      <c r="R101" s="54">
        <f t="shared" si="40"/>
        <v>0</v>
      </c>
      <c r="S101" s="58">
        <f t="shared" si="35"/>
        <v>0</v>
      </c>
      <c r="AR101" s="61" cm="1">
        <f t="array" ref="AR101:AR108">INDEX($J:$J,14+20*_xlfn.SEQUENCE(8,1,0,1))</f>
        <v>0</v>
      </c>
      <c r="AT101">
        <f>_xlfn.RANK.AVG(AR101,$AR$101:$AR$108,0)</f>
        <v>8</v>
      </c>
    </row>
    <row r="102" spans="1:46" x14ac:dyDescent="0.35">
      <c r="A102" s="94" t="s">
        <v>10</v>
      </c>
      <c r="B102" s="96" t="s">
        <v>52</v>
      </c>
      <c r="C102" s="96"/>
      <c r="D102" s="46">
        <v>26</v>
      </c>
      <c r="E102" s="46" t="s">
        <v>62</v>
      </c>
      <c r="F102" s="46">
        <v>-45.95</v>
      </c>
      <c r="G102" s="49">
        <v>3</v>
      </c>
      <c r="H102" s="49">
        <v>94</v>
      </c>
      <c r="I102" s="50">
        <f t="shared" si="31"/>
        <v>97</v>
      </c>
      <c r="J102" s="51">
        <v>0.98640000000000005</v>
      </c>
      <c r="K102" s="52" t="s">
        <v>38</v>
      </c>
      <c r="L102" s="52" t="s">
        <v>38</v>
      </c>
      <c r="M102" s="52" t="s">
        <v>38</v>
      </c>
      <c r="N102" s="52" t="s">
        <v>38</v>
      </c>
      <c r="O102" s="52" t="s">
        <v>38</v>
      </c>
      <c r="P102" s="52" t="s">
        <v>38</v>
      </c>
      <c r="Q102" s="52" t="s">
        <v>38</v>
      </c>
      <c r="R102" s="52" t="s">
        <v>38</v>
      </c>
      <c r="S102" s="52" t="s">
        <v>38</v>
      </c>
      <c r="AR102" s="61">
        <v>1</v>
      </c>
      <c r="AT102">
        <f t="shared" ref="AT102:AT108" si="44">_xlfn.RANK.AVG(AR102,$AR$101:$AR$108,0)</f>
        <v>2</v>
      </c>
    </row>
    <row r="103" spans="1:46" x14ac:dyDescent="0.35">
      <c r="A103" s="94"/>
      <c r="B103" s="110" t="s">
        <v>50</v>
      </c>
      <c r="C103" s="47">
        <v>0</v>
      </c>
      <c r="D103" s="47">
        <v>46</v>
      </c>
      <c r="E103" s="47" t="s">
        <v>62</v>
      </c>
      <c r="F103" s="47">
        <v>-45.95</v>
      </c>
      <c r="G103" s="54">
        <v>3</v>
      </c>
      <c r="H103" s="55">
        <v>94</v>
      </c>
      <c r="I103" s="55">
        <f t="shared" si="31"/>
        <v>97</v>
      </c>
      <c r="J103" s="56">
        <v>0.98640000000000005</v>
      </c>
      <c r="K103" s="57">
        <f>(J103-$J$102)*100</f>
        <v>0</v>
      </c>
      <c r="L103" s="57">
        <f t="shared" si="32"/>
        <v>0</v>
      </c>
      <c r="M103" s="54">
        <f>D103-$D$102</f>
        <v>20</v>
      </c>
      <c r="N103" s="57">
        <f t="shared" si="33"/>
        <v>20</v>
      </c>
      <c r="O103" s="57">
        <f>F103-$F$102</f>
        <v>0</v>
      </c>
      <c r="P103" s="57">
        <f t="shared" si="34"/>
        <v>0</v>
      </c>
      <c r="Q103" s="57" t="str">
        <f t="shared" si="42"/>
        <v>No</v>
      </c>
      <c r="R103" s="54">
        <f>I103-$I$102</f>
        <v>0</v>
      </c>
      <c r="S103" s="58">
        <f t="shared" si="35"/>
        <v>0</v>
      </c>
      <c r="AR103" s="61">
        <v>0.6008</v>
      </c>
      <c r="AT103">
        <f t="shared" si="44"/>
        <v>6</v>
      </c>
    </row>
    <row r="104" spans="1:46" x14ac:dyDescent="0.35">
      <c r="A104" s="94"/>
      <c r="B104" s="111"/>
      <c r="C104" s="39">
        <v>0.05</v>
      </c>
      <c r="D104" s="47">
        <v>37</v>
      </c>
      <c r="E104" s="47" t="s">
        <v>62</v>
      </c>
      <c r="F104" s="47">
        <v>-45.95</v>
      </c>
      <c r="G104" s="54">
        <v>3</v>
      </c>
      <c r="H104" s="55">
        <v>94</v>
      </c>
      <c r="I104" s="55">
        <f t="shared" si="31"/>
        <v>97</v>
      </c>
      <c r="J104" s="56">
        <v>0.98640000000000005</v>
      </c>
      <c r="K104" s="57">
        <f t="shared" ref="K104:K121" si="45">(J104-$J$102)*100</f>
        <v>0</v>
      </c>
      <c r="L104" s="57">
        <f t="shared" si="32"/>
        <v>0</v>
      </c>
      <c r="M104" s="54">
        <f t="shared" ref="M104:M121" si="46">D104-$D$102</f>
        <v>11</v>
      </c>
      <c r="N104" s="57">
        <f t="shared" si="33"/>
        <v>11</v>
      </c>
      <c r="O104" s="57">
        <f t="shared" ref="O104:O121" si="47">F104-$F$102</f>
        <v>0</v>
      </c>
      <c r="P104" s="57">
        <f t="shared" si="34"/>
        <v>0</v>
      </c>
      <c r="Q104" s="57" t="str">
        <f t="shared" si="42"/>
        <v>No</v>
      </c>
      <c r="R104" s="54">
        <f t="shared" ref="R104:R121" si="48">I104-$I$102</f>
        <v>0</v>
      </c>
      <c r="S104" s="58">
        <f t="shared" si="35"/>
        <v>0</v>
      </c>
      <c r="AR104" s="61">
        <v>0.7681</v>
      </c>
      <c r="AT104">
        <f t="shared" si="44"/>
        <v>5</v>
      </c>
    </row>
    <row r="105" spans="1:46" x14ac:dyDescent="0.35">
      <c r="A105" s="94"/>
      <c r="B105" s="111"/>
      <c r="C105" s="39">
        <v>0.25</v>
      </c>
      <c r="D105" s="47">
        <v>21</v>
      </c>
      <c r="E105" s="47" t="s">
        <v>62</v>
      </c>
      <c r="F105" s="47">
        <v>-45.95</v>
      </c>
      <c r="G105" s="54">
        <v>3</v>
      </c>
      <c r="H105" s="55">
        <v>94</v>
      </c>
      <c r="I105" s="55">
        <f t="shared" si="31"/>
        <v>97</v>
      </c>
      <c r="J105" s="56">
        <v>0.98640000000000005</v>
      </c>
      <c r="K105" s="57">
        <f t="shared" si="45"/>
        <v>0</v>
      </c>
      <c r="L105" s="57">
        <f t="shared" si="32"/>
        <v>0</v>
      </c>
      <c r="M105" s="54">
        <f t="shared" si="46"/>
        <v>-5</v>
      </c>
      <c r="N105" s="57">
        <f t="shared" si="33"/>
        <v>5</v>
      </c>
      <c r="O105" s="57">
        <f t="shared" si="47"/>
        <v>0</v>
      </c>
      <c r="P105" s="57">
        <f t="shared" si="34"/>
        <v>0</v>
      </c>
      <c r="Q105" s="57" t="str">
        <f t="shared" si="42"/>
        <v>No</v>
      </c>
      <c r="R105" s="54">
        <f t="shared" si="48"/>
        <v>0</v>
      </c>
      <c r="S105" s="58">
        <f t="shared" si="35"/>
        <v>0</v>
      </c>
      <c r="AR105" s="61">
        <v>0.51200000000000001</v>
      </c>
      <c r="AT105">
        <f t="shared" si="44"/>
        <v>7</v>
      </c>
    </row>
    <row r="106" spans="1:46" x14ac:dyDescent="0.35">
      <c r="A106" s="94"/>
      <c r="B106" s="111"/>
      <c r="C106" s="39">
        <v>0.35</v>
      </c>
      <c r="D106" s="47">
        <v>17</v>
      </c>
      <c r="E106" s="47" t="s">
        <v>62</v>
      </c>
      <c r="F106" s="47">
        <v>-45.95</v>
      </c>
      <c r="G106" s="54">
        <v>3</v>
      </c>
      <c r="H106" s="55">
        <v>94</v>
      </c>
      <c r="I106" s="55">
        <f t="shared" si="31"/>
        <v>97</v>
      </c>
      <c r="J106" s="56">
        <v>0.98640000000000005</v>
      </c>
      <c r="K106" s="57">
        <f t="shared" si="45"/>
        <v>0</v>
      </c>
      <c r="L106" s="57">
        <f t="shared" si="32"/>
        <v>0</v>
      </c>
      <c r="M106" s="54">
        <f t="shared" si="46"/>
        <v>-9</v>
      </c>
      <c r="N106" s="57">
        <f t="shared" si="33"/>
        <v>9</v>
      </c>
      <c r="O106" s="57">
        <f t="shared" si="47"/>
        <v>0</v>
      </c>
      <c r="P106" s="57">
        <f t="shared" si="34"/>
        <v>0</v>
      </c>
      <c r="Q106" s="57" t="str">
        <f t="shared" si="42"/>
        <v>No</v>
      </c>
      <c r="R106" s="54">
        <f t="shared" si="48"/>
        <v>0</v>
      </c>
      <c r="S106" s="58">
        <f t="shared" si="35"/>
        <v>0</v>
      </c>
      <c r="AR106" s="61">
        <v>0.98640000000000005</v>
      </c>
      <c r="AT106">
        <f t="shared" si="44"/>
        <v>4</v>
      </c>
    </row>
    <row r="107" spans="1:46" x14ac:dyDescent="0.35">
      <c r="A107" s="94"/>
      <c r="B107" s="111"/>
      <c r="C107" s="44">
        <v>0.45</v>
      </c>
      <c r="D107" s="47">
        <v>17</v>
      </c>
      <c r="E107" s="47" t="s">
        <v>62</v>
      </c>
      <c r="F107" s="47">
        <v>-45.95</v>
      </c>
      <c r="G107" s="54">
        <v>3</v>
      </c>
      <c r="H107" s="55">
        <v>94</v>
      </c>
      <c r="I107" s="55">
        <f t="shared" si="31"/>
        <v>97</v>
      </c>
      <c r="J107" s="56">
        <v>0.98640000000000005</v>
      </c>
      <c r="K107" s="57">
        <f t="shared" si="45"/>
        <v>0</v>
      </c>
      <c r="L107" s="57">
        <f t="shared" si="32"/>
        <v>0</v>
      </c>
      <c r="M107" s="54">
        <f t="shared" si="46"/>
        <v>-9</v>
      </c>
      <c r="N107" s="57">
        <f t="shared" si="33"/>
        <v>9</v>
      </c>
      <c r="O107" s="57">
        <f t="shared" si="47"/>
        <v>0</v>
      </c>
      <c r="P107" s="57">
        <f t="shared" si="34"/>
        <v>0</v>
      </c>
      <c r="Q107" s="57" t="str">
        <f t="shared" si="42"/>
        <v>No</v>
      </c>
      <c r="R107" s="54">
        <f t="shared" si="48"/>
        <v>0</v>
      </c>
      <c r="S107" s="58">
        <f t="shared" si="35"/>
        <v>0</v>
      </c>
      <c r="AR107" s="61">
        <v>1</v>
      </c>
      <c r="AT107">
        <f t="shared" si="44"/>
        <v>2</v>
      </c>
    </row>
    <row r="108" spans="1:46" x14ac:dyDescent="0.35">
      <c r="A108" s="94"/>
      <c r="B108" s="112"/>
      <c r="C108" s="44">
        <v>0.55000000000000004</v>
      </c>
      <c r="D108" s="47">
        <v>17</v>
      </c>
      <c r="E108" s="47" t="s">
        <v>62</v>
      </c>
      <c r="F108" s="47">
        <v>-45.95</v>
      </c>
      <c r="G108" s="54">
        <v>3</v>
      </c>
      <c r="H108" s="55">
        <v>94</v>
      </c>
      <c r="I108" s="55">
        <f t="shared" si="31"/>
        <v>97</v>
      </c>
      <c r="J108" s="56">
        <v>0.98640000000000005</v>
      </c>
      <c r="K108" s="57">
        <f t="shared" si="45"/>
        <v>0</v>
      </c>
      <c r="L108" s="57">
        <f t="shared" si="32"/>
        <v>0</v>
      </c>
      <c r="M108" s="54">
        <f t="shared" si="46"/>
        <v>-9</v>
      </c>
      <c r="N108" s="57">
        <f t="shared" si="33"/>
        <v>9</v>
      </c>
      <c r="O108" s="57">
        <f t="shared" si="47"/>
        <v>0</v>
      </c>
      <c r="P108" s="57">
        <f t="shared" si="34"/>
        <v>0</v>
      </c>
      <c r="Q108" s="57" t="str">
        <f t="shared" si="42"/>
        <v>No</v>
      </c>
      <c r="R108" s="54">
        <f t="shared" si="48"/>
        <v>0</v>
      </c>
      <c r="S108" s="58">
        <f t="shared" si="35"/>
        <v>0</v>
      </c>
      <c r="AR108" s="61">
        <v>1</v>
      </c>
      <c r="AT108">
        <f t="shared" si="44"/>
        <v>2</v>
      </c>
    </row>
    <row r="109" spans="1:46" x14ac:dyDescent="0.35">
      <c r="A109" s="94"/>
      <c r="B109" s="113" t="s">
        <v>66</v>
      </c>
      <c r="C109" s="44">
        <v>0</v>
      </c>
      <c r="D109" s="47">
        <v>26</v>
      </c>
      <c r="E109" s="47" t="s">
        <v>62</v>
      </c>
      <c r="F109" s="47">
        <v>-45.95</v>
      </c>
      <c r="G109" s="54">
        <v>1</v>
      </c>
      <c r="H109" s="55">
        <v>92</v>
      </c>
      <c r="I109" s="55">
        <f t="shared" si="31"/>
        <v>93</v>
      </c>
      <c r="J109" s="56">
        <v>0.96079999999999999</v>
      </c>
      <c r="K109" s="57">
        <f t="shared" si="45"/>
        <v>-2.5600000000000067</v>
      </c>
      <c r="L109" s="57">
        <f t="shared" si="32"/>
        <v>2.5600000000000067</v>
      </c>
      <c r="M109" s="54">
        <f t="shared" si="46"/>
        <v>0</v>
      </c>
      <c r="N109" s="57">
        <f t="shared" si="33"/>
        <v>0</v>
      </c>
      <c r="O109" s="57">
        <f t="shared" si="47"/>
        <v>0</v>
      </c>
      <c r="P109" s="57">
        <f t="shared" si="34"/>
        <v>0</v>
      </c>
      <c r="Q109" s="57" t="str">
        <f t="shared" si="42"/>
        <v>No</v>
      </c>
      <c r="R109" s="54">
        <f t="shared" si="48"/>
        <v>-4</v>
      </c>
      <c r="S109" s="58">
        <f t="shared" si="35"/>
        <v>4</v>
      </c>
    </row>
    <row r="110" spans="1:46" x14ac:dyDescent="0.35">
      <c r="A110" s="94"/>
      <c r="B110" s="111"/>
      <c r="C110" s="44">
        <v>0.05</v>
      </c>
      <c r="D110" s="47">
        <v>26</v>
      </c>
      <c r="E110" s="47" t="s">
        <v>62</v>
      </c>
      <c r="F110" s="47">
        <v>-45.95</v>
      </c>
      <c r="G110" s="54">
        <v>3</v>
      </c>
      <c r="H110" s="55">
        <v>94</v>
      </c>
      <c r="I110" s="55">
        <f t="shared" si="31"/>
        <v>97</v>
      </c>
      <c r="J110" s="56">
        <v>0.98640000000000005</v>
      </c>
      <c r="K110" s="57">
        <f t="shared" si="45"/>
        <v>0</v>
      </c>
      <c r="L110" s="57">
        <f t="shared" si="32"/>
        <v>0</v>
      </c>
      <c r="M110" s="54">
        <f t="shared" si="46"/>
        <v>0</v>
      </c>
      <c r="N110" s="57">
        <f t="shared" si="33"/>
        <v>0</v>
      </c>
      <c r="O110" s="57">
        <f t="shared" si="47"/>
        <v>0</v>
      </c>
      <c r="P110" s="57">
        <f t="shared" si="34"/>
        <v>0</v>
      </c>
      <c r="Q110" s="57" t="str">
        <f t="shared" si="42"/>
        <v>No</v>
      </c>
      <c r="R110" s="54">
        <f t="shared" si="48"/>
        <v>0</v>
      </c>
      <c r="S110" s="58">
        <f t="shared" si="35"/>
        <v>0</v>
      </c>
      <c r="AR110" s="61" cm="1">
        <f t="array" ref="AR110:AR117">INDEX($J:$J,15+20*_xlfn.SEQUENCE(8,1,0,1))</f>
        <v>0</v>
      </c>
      <c r="AT110">
        <f>_xlfn.RANK.AVG(AR110,$AR$110:$AR$117,0)</f>
        <v>8</v>
      </c>
    </row>
    <row r="111" spans="1:46" x14ac:dyDescent="0.35">
      <c r="A111" s="94"/>
      <c r="B111" s="111"/>
      <c r="C111" s="44">
        <v>0.25</v>
      </c>
      <c r="D111" s="47">
        <v>26</v>
      </c>
      <c r="E111" s="47" t="s">
        <v>62</v>
      </c>
      <c r="F111" s="47">
        <v>-45.95</v>
      </c>
      <c r="G111" s="54">
        <v>3</v>
      </c>
      <c r="H111" s="55">
        <v>94</v>
      </c>
      <c r="I111" s="55">
        <f t="shared" si="31"/>
        <v>97</v>
      </c>
      <c r="J111" s="56">
        <v>0.98640000000000005</v>
      </c>
      <c r="K111" s="57">
        <f t="shared" si="45"/>
        <v>0</v>
      </c>
      <c r="L111" s="57">
        <f t="shared" si="32"/>
        <v>0</v>
      </c>
      <c r="M111" s="54">
        <f t="shared" si="46"/>
        <v>0</v>
      </c>
      <c r="N111" s="57">
        <f t="shared" si="33"/>
        <v>0</v>
      </c>
      <c r="O111" s="57">
        <f t="shared" si="47"/>
        <v>0</v>
      </c>
      <c r="P111" s="57">
        <f t="shared" si="34"/>
        <v>0</v>
      </c>
      <c r="Q111" s="57" t="str">
        <f t="shared" si="42"/>
        <v>No</v>
      </c>
      <c r="R111" s="54">
        <f t="shared" si="48"/>
        <v>0</v>
      </c>
      <c r="S111" s="58">
        <f t="shared" si="35"/>
        <v>0</v>
      </c>
      <c r="AR111" s="61">
        <v>0.68230000000000002</v>
      </c>
      <c r="AT111">
        <f t="shared" ref="AT111:AT117" si="49">_xlfn.RANK.AVG(AR111,$AR$110:$AR$117,0)</f>
        <v>1</v>
      </c>
    </row>
    <row r="112" spans="1:46" x14ac:dyDescent="0.35">
      <c r="A112" s="94"/>
      <c r="B112" s="111"/>
      <c r="C112" s="44">
        <v>0.35</v>
      </c>
      <c r="D112" s="47">
        <v>26</v>
      </c>
      <c r="E112" s="47" t="s">
        <v>62</v>
      </c>
      <c r="F112" s="47">
        <v>-45.95</v>
      </c>
      <c r="G112" s="54">
        <v>3</v>
      </c>
      <c r="H112" s="55">
        <v>94</v>
      </c>
      <c r="I112" s="55">
        <f t="shared" si="31"/>
        <v>97</v>
      </c>
      <c r="J112" s="56">
        <v>0.98640000000000005</v>
      </c>
      <c r="K112" s="57">
        <f t="shared" si="45"/>
        <v>0</v>
      </c>
      <c r="L112" s="57">
        <f t="shared" si="32"/>
        <v>0</v>
      </c>
      <c r="M112" s="54">
        <f t="shared" si="46"/>
        <v>0</v>
      </c>
      <c r="N112" s="57">
        <f t="shared" si="33"/>
        <v>0</v>
      </c>
      <c r="O112" s="57">
        <f t="shared" si="47"/>
        <v>0</v>
      </c>
      <c r="P112" s="57">
        <f t="shared" si="34"/>
        <v>0</v>
      </c>
      <c r="Q112" s="57" t="str">
        <f t="shared" si="42"/>
        <v>No</v>
      </c>
      <c r="R112" s="54">
        <f t="shared" si="48"/>
        <v>0</v>
      </c>
      <c r="S112" s="58">
        <f t="shared" si="35"/>
        <v>0</v>
      </c>
      <c r="AR112" s="61">
        <v>0.41839999999999999</v>
      </c>
      <c r="AT112">
        <f t="shared" si="49"/>
        <v>2</v>
      </c>
    </row>
    <row r="113" spans="1:46" x14ac:dyDescent="0.35">
      <c r="A113" s="94"/>
      <c r="B113" s="111"/>
      <c r="C113" s="44">
        <v>0.45</v>
      </c>
      <c r="D113" s="47">
        <v>26</v>
      </c>
      <c r="E113" s="47" t="s">
        <v>62</v>
      </c>
      <c r="F113" s="47">
        <v>-45.95</v>
      </c>
      <c r="G113" s="54">
        <v>3</v>
      </c>
      <c r="H113" s="55">
        <v>94</v>
      </c>
      <c r="I113" s="55">
        <f t="shared" si="31"/>
        <v>97</v>
      </c>
      <c r="J113" s="56">
        <v>0.98640000000000005</v>
      </c>
      <c r="K113" s="57">
        <f t="shared" si="45"/>
        <v>0</v>
      </c>
      <c r="L113" s="57">
        <f t="shared" si="32"/>
        <v>0</v>
      </c>
      <c r="M113" s="54">
        <f t="shared" si="46"/>
        <v>0</v>
      </c>
      <c r="N113" s="57">
        <f t="shared" si="33"/>
        <v>0</v>
      </c>
      <c r="O113" s="57">
        <f t="shared" si="47"/>
        <v>0</v>
      </c>
      <c r="P113" s="57">
        <f t="shared" si="34"/>
        <v>0</v>
      </c>
      <c r="Q113" s="57" t="str">
        <f t="shared" si="42"/>
        <v>No</v>
      </c>
      <c r="R113" s="54">
        <f t="shared" si="48"/>
        <v>0</v>
      </c>
      <c r="S113" s="58">
        <f t="shared" si="35"/>
        <v>0</v>
      </c>
      <c r="AR113" s="61">
        <v>0.2319</v>
      </c>
      <c r="AT113">
        <f t="shared" si="49"/>
        <v>4</v>
      </c>
    </row>
    <row r="114" spans="1:46" x14ac:dyDescent="0.35">
      <c r="A114" s="94"/>
      <c r="B114" s="112"/>
      <c r="C114" s="44">
        <v>0.55000000000000004</v>
      </c>
      <c r="D114" s="47">
        <v>26</v>
      </c>
      <c r="E114" s="47" t="s">
        <v>62</v>
      </c>
      <c r="F114" s="47">
        <v>-45.95</v>
      </c>
      <c r="G114" s="54">
        <v>3</v>
      </c>
      <c r="H114" s="55">
        <v>94</v>
      </c>
      <c r="I114" s="55">
        <f t="shared" si="31"/>
        <v>97</v>
      </c>
      <c r="J114" s="56">
        <v>0.98640000000000005</v>
      </c>
      <c r="K114" s="57">
        <f t="shared" si="45"/>
        <v>0</v>
      </c>
      <c r="L114" s="57">
        <f t="shared" si="32"/>
        <v>0</v>
      </c>
      <c r="M114" s="54">
        <f t="shared" si="46"/>
        <v>0</v>
      </c>
      <c r="N114" s="57">
        <f t="shared" si="33"/>
        <v>0</v>
      </c>
      <c r="O114" s="57">
        <f t="shared" si="47"/>
        <v>0</v>
      </c>
      <c r="P114" s="57">
        <f t="shared" si="34"/>
        <v>0</v>
      </c>
      <c r="Q114" s="57" t="str">
        <f t="shared" si="42"/>
        <v>No</v>
      </c>
      <c r="R114" s="54">
        <f t="shared" si="48"/>
        <v>0</v>
      </c>
      <c r="S114" s="58">
        <f t="shared" si="35"/>
        <v>0</v>
      </c>
      <c r="AR114" s="61">
        <v>3.04E-2</v>
      </c>
      <c r="AT114">
        <f t="shared" si="49"/>
        <v>6</v>
      </c>
    </row>
    <row r="115" spans="1:46" x14ac:dyDescent="0.35">
      <c r="A115" s="94"/>
      <c r="B115" s="110" t="s">
        <v>51</v>
      </c>
      <c r="C115" s="44">
        <v>0</v>
      </c>
      <c r="D115" s="47">
        <v>26</v>
      </c>
      <c r="E115" s="47" t="s">
        <v>62</v>
      </c>
      <c r="F115" s="47">
        <v>-41</v>
      </c>
      <c r="G115" s="54">
        <v>0</v>
      </c>
      <c r="H115" s="55">
        <v>2</v>
      </c>
      <c r="I115" s="55">
        <f t="shared" si="31"/>
        <v>2</v>
      </c>
      <c r="J115" s="56">
        <v>5.3E-3</v>
      </c>
      <c r="K115" s="57">
        <f t="shared" si="45"/>
        <v>-98.110000000000014</v>
      </c>
      <c r="L115" s="57">
        <f t="shared" si="32"/>
        <v>98.110000000000014</v>
      </c>
      <c r="M115" s="54">
        <f t="shared" si="46"/>
        <v>0</v>
      </c>
      <c r="N115" s="57">
        <f t="shared" si="33"/>
        <v>0</v>
      </c>
      <c r="O115" s="57">
        <f t="shared" si="47"/>
        <v>4.9500000000000028</v>
      </c>
      <c r="P115" s="57">
        <f t="shared" si="34"/>
        <v>4.9500000000000028</v>
      </c>
      <c r="Q115" s="57" t="str">
        <f t="shared" si="42"/>
        <v>Yes</v>
      </c>
      <c r="R115" s="54">
        <f t="shared" si="48"/>
        <v>-95</v>
      </c>
      <c r="S115" s="58">
        <f t="shared" si="35"/>
        <v>95</v>
      </c>
      <c r="AR115" s="61">
        <v>5.3E-3</v>
      </c>
      <c r="AT115">
        <f t="shared" si="49"/>
        <v>7</v>
      </c>
    </row>
    <row r="116" spans="1:46" x14ac:dyDescent="0.35">
      <c r="A116" s="94"/>
      <c r="B116" s="111"/>
      <c r="C116" s="44">
        <v>0.05</v>
      </c>
      <c r="D116" s="47">
        <v>26</v>
      </c>
      <c r="E116" s="47" t="s">
        <v>62</v>
      </c>
      <c r="F116" s="47">
        <v>-45.95</v>
      </c>
      <c r="G116" s="54">
        <v>3</v>
      </c>
      <c r="H116" s="55">
        <v>94</v>
      </c>
      <c r="I116" s="55">
        <f t="shared" si="31"/>
        <v>97</v>
      </c>
      <c r="J116" s="56">
        <v>0.98640000000000005</v>
      </c>
      <c r="K116" s="57">
        <f t="shared" si="45"/>
        <v>0</v>
      </c>
      <c r="L116" s="57">
        <f t="shared" si="32"/>
        <v>0</v>
      </c>
      <c r="M116" s="54">
        <f t="shared" si="46"/>
        <v>0</v>
      </c>
      <c r="N116" s="57">
        <f t="shared" si="33"/>
        <v>0</v>
      </c>
      <c r="O116" s="57">
        <f t="shared" si="47"/>
        <v>0</v>
      </c>
      <c r="P116" s="57">
        <f t="shared" si="34"/>
        <v>0</v>
      </c>
      <c r="Q116" s="57" t="str">
        <f t="shared" si="42"/>
        <v>No</v>
      </c>
      <c r="R116" s="54">
        <f t="shared" si="48"/>
        <v>0</v>
      </c>
      <c r="S116" s="58">
        <f t="shared" si="35"/>
        <v>0</v>
      </c>
      <c r="AR116" s="61">
        <v>0.16880000000000001</v>
      </c>
      <c r="AT116">
        <f t="shared" si="49"/>
        <v>5</v>
      </c>
    </row>
    <row r="117" spans="1:46" x14ac:dyDescent="0.35">
      <c r="A117" s="94"/>
      <c r="B117" s="111"/>
      <c r="C117" s="44">
        <v>0.15</v>
      </c>
      <c r="D117" s="47">
        <v>26</v>
      </c>
      <c r="E117" s="47" t="s">
        <v>62</v>
      </c>
      <c r="F117" s="47">
        <v>-45.95</v>
      </c>
      <c r="G117" s="54">
        <v>3</v>
      </c>
      <c r="H117" s="55">
        <v>94</v>
      </c>
      <c r="I117" s="55">
        <f t="shared" si="31"/>
        <v>97</v>
      </c>
      <c r="J117" s="56">
        <v>0.98640000000000005</v>
      </c>
      <c r="K117" s="57">
        <f t="shared" si="45"/>
        <v>0</v>
      </c>
      <c r="L117" s="57">
        <f t="shared" si="32"/>
        <v>0</v>
      </c>
      <c r="M117" s="54">
        <f t="shared" si="46"/>
        <v>0</v>
      </c>
      <c r="N117" s="57">
        <f t="shared" si="33"/>
        <v>0</v>
      </c>
      <c r="O117" s="57">
        <f t="shared" si="47"/>
        <v>0</v>
      </c>
      <c r="P117" s="57">
        <f t="shared" si="34"/>
        <v>0</v>
      </c>
      <c r="Q117" s="57" t="str">
        <f t="shared" si="42"/>
        <v>No</v>
      </c>
      <c r="R117" s="54">
        <f t="shared" si="48"/>
        <v>0</v>
      </c>
      <c r="S117" s="58">
        <f t="shared" si="35"/>
        <v>0</v>
      </c>
      <c r="AR117" s="61">
        <v>0.23230000000000001</v>
      </c>
      <c r="AT117">
        <f t="shared" si="49"/>
        <v>3</v>
      </c>
    </row>
    <row r="118" spans="1:46" x14ac:dyDescent="0.35">
      <c r="A118" s="94"/>
      <c r="B118" s="111"/>
      <c r="C118" s="44">
        <v>0.25</v>
      </c>
      <c r="D118" s="47">
        <v>26</v>
      </c>
      <c r="E118" s="47" t="s">
        <v>62</v>
      </c>
      <c r="F118" s="47">
        <v>-45.95</v>
      </c>
      <c r="G118" s="54">
        <v>3</v>
      </c>
      <c r="H118" s="55">
        <v>94</v>
      </c>
      <c r="I118" s="55">
        <f t="shared" si="31"/>
        <v>97</v>
      </c>
      <c r="J118" s="56">
        <v>0.98640000000000005</v>
      </c>
      <c r="K118" s="57">
        <f t="shared" si="45"/>
        <v>0</v>
      </c>
      <c r="L118" s="57">
        <f t="shared" si="32"/>
        <v>0</v>
      </c>
      <c r="M118" s="54">
        <f t="shared" si="46"/>
        <v>0</v>
      </c>
      <c r="N118" s="57">
        <f t="shared" si="33"/>
        <v>0</v>
      </c>
      <c r="O118" s="57">
        <f t="shared" si="47"/>
        <v>0</v>
      </c>
      <c r="P118" s="57">
        <f t="shared" si="34"/>
        <v>0</v>
      </c>
      <c r="Q118" s="57" t="str">
        <f t="shared" si="42"/>
        <v>No</v>
      </c>
      <c r="R118" s="54">
        <f t="shared" si="48"/>
        <v>0</v>
      </c>
      <c r="S118" s="58">
        <f t="shared" si="35"/>
        <v>0</v>
      </c>
    </row>
    <row r="119" spans="1:46" x14ac:dyDescent="0.35">
      <c r="A119" s="94"/>
      <c r="B119" s="111"/>
      <c r="C119" s="45">
        <v>0.45</v>
      </c>
      <c r="D119" s="47">
        <v>26</v>
      </c>
      <c r="E119" s="47" t="s">
        <v>62</v>
      </c>
      <c r="F119" s="47">
        <v>-45.95</v>
      </c>
      <c r="G119" s="54">
        <v>3</v>
      </c>
      <c r="H119" s="55">
        <v>94</v>
      </c>
      <c r="I119" s="55">
        <f t="shared" si="31"/>
        <v>97</v>
      </c>
      <c r="J119" s="56">
        <v>0.98640000000000005</v>
      </c>
      <c r="K119" s="57">
        <f t="shared" si="45"/>
        <v>0</v>
      </c>
      <c r="L119" s="57">
        <f t="shared" si="32"/>
        <v>0</v>
      </c>
      <c r="M119" s="54">
        <f t="shared" si="46"/>
        <v>0</v>
      </c>
      <c r="N119" s="57">
        <f t="shared" si="33"/>
        <v>0</v>
      </c>
      <c r="O119" s="57">
        <f t="shared" si="47"/>
        <v>0</v>
      </c>
      <c r="P119" s="57">
        <f t="shared" si="34"/>
        <v>0</v>
      </c>
      <c r="Q119" s="57" t="str">
        <f t="shared" si="42"/>
        <v>No</v>
      </c>
      <c r="R119" s="54">
        <f t="shared" si="48"/>
        <v>0</v>
      </c>
      <c r="S119" s="58">
        <f t="shared" si="35"/>
        <v>0</v>
      </c>
      <c r="AR119" s="61" cm="1">
        <f t="array" ref="AR119:AR126">INDEX($J:$J,16+20*_xlfn.SEQUENCE(8,1,0,1))</f>
        <v>0</v>
      </c>
      <c r="AT119">
        <f>_xlfn.RANK.AVG(AR119,$AR$119:$AR$126,0)</f>
        <v>8</v>
      </c>
    </row>
    <row r="120" spans="1:46" x14ac:dyDescent="0.35">
      <c r="A120" s="94"/>
      <c r="B120" s="111"/>
      <c r="C120" s="45">
        <v>0.55000000000000004</v>
      </c>
      <c r="D120" s="47">
        <v>26</v>
      </c>
      <c r="E120" s="47" t="s">
        <v>62</v>
      </c>
      <c r="F120" s="47">
        <v>-45.95</v>
      </c>
      <c r="G120" s="54">
        <v>3</v>
      </c>
      <c r="H120" s="55">
        <v>94</v>
      </c>
      <c r="I120" s="55">
        <f t="shared" si="31"/>
        <v>97</v>
      </c>
      <c r="J120" s="56">
        <v>0.98640000000000005</v>
      </c>
      <c r="K120" s="57">
        <f t="shared" si="45"/>
        <v>0</v>
      </c>
      <c r="L120" s="57">
        <f t="shared" si="32"/>
        <v>0</v>
      </c>
      <c r="M120" s="54">
        <f t="shared" si="46"/>
        <v>0</v>
      </c>
      <c r="N120" s="57">
        <f t="shared" si="33"/>
        <v>0</v>
      </c>
      <c r="O120" s="57">
        <f t="shared" si="47"/>
        <v>0</v>
      </c>
      <c r="P120" s="57">
        <f t="shared" si="34"/>
        <v>0</v>
      </c>
      <c r="Q120" s="57" t="str">
        <f t="shared" si="42"/>
        <v>No</v>
      </c>
      <c r="R120" s="54">
        <f t="shared" si="48"/>
        <v>0</v>
      </c>
      <c r="S120" s="58">
        <f t="shared" si="35"/>
        <v>0</v>
      </c>
      <c r="AR120" s="61">
        <v>1</v>
      </c>
      <c r="AT120">
        <f t="shared" ref="AT120:AT126" si="50">_xlfn.RANK.AVG(AR120,$AR$119:$AR$126,0)</f>
        <v>2</v>
      </c>
    </row>
    <row r="121" spans="1:46" x14ac:dyDescent="0.35">
      <c r="A121" s="94"/>
      <c r="B121" s="112"/>
      <c r="C121" s="45">
        <v>0.65</v>
      </c>
      <c r="D121" s="47">
        <v>26</v>
      </c>
      <c r="E121" s="47" t="s">
        <v>62</v>
      </c>
      <c r="F121" s="47">
        <v>-45.95</v>
      </c>
      <c r="G121" s="54">
        <v>3</v>
      </c>
      <c r="H121" s="55">
        <v>94</v>
      </c>
      <c r="I121" s="55">
        <f t="shared" si="31"/>
        <v>97</v>
      </c>
      <c r="J121" s="56">
        <v>0.98640000000000005</v>
      </c>
      <c r="K121" s="57">
        <f t="shared" si="45"/>
        <v>0</v>
      </c>
      <c r="L121" s="57">
        <f t="shared" si="32"/>
        <v>0</v>
      </c>
      <c r="M121" s="54">
        <f t="shared" si="46"/>
        <v>0</v>
      </c>
      <c r="N121" s="57">
        <f t="shared" si="33"/>
        <v>0</v>
      </c>
      <c r="O121" s="57">
        <f t="shared" si="47"/>
        <v>0</v>
      </c>
      <c r="P121" s="57">
        <f t="shared" si="34"/>
        <v>0</v>
      </c>
      <c r="Q121" s="57" t="str">
        <f t="shared" si="42"/>
        <v>No</v>
      </c>
      <c r="R121" s="54">
        <f t="shared" si="48"/>
        <v>0</v>
      </c>
      <c r="S121" s="58">
        <f t="shared" si="35"/>
        <v>0</v>
      </c>
      <c r="AR121" s="61">
        <v>0.6008</v>
      </c>
      <c r="AT121">
        <f t="shared" si="50"/>
        <v>6</v>
      </c>
    </row>
    <row r="122" spans="1:46" x14ac:dyDescent="0.35">
      <c r="A122" s="94" t="s">
        <v>11</v>
      </c>
      <c r="B122" s="96" t="s">
        <v>52</v>
      </c>
      <c r="C122" s="96"/>
      <c r="D122" s="46">
        <v>11</v>
      </c>
      <c r="E122" s="46" t="s">
        <v>62</v>
      </c>
      <c r="F122" s="46">
        <v>-78.540000000000006</v>
      </c>
      <c r="G122" s="49">
        <v>2</v>
      </c>
      <c r="H122" s="49">
        <v>76</v>
      </c>
      <c r="I122" s="50">
        <f t="shared" si="31"/>
        <v>78</v>
      </c>
      <c r="J122" s="51">
        <v>1</v>
      </c>
      <c r="K122" s="52" t="s">
        <v>38</v>
      </c>
      <c r="L122" s="52" t="s">
        <v>38</v>
      </c>
      <c r="M122" s="52" t="s">
        <v>38</v>
      </c>
      <c r="N122" s="52" t="s">
        <v>38</v>
      </c>
      <c r="O122" s="52" t="s">
        <v>38</v>
      </c>
      <c r="P122" s="52" t="s">
        <v>38</v>
      </c>
      <c r="Q122" s="52" t="s">
        <v>38</v>
      </c>
      <c r="R122" s="52" t="s">
        <v>38</v>
      </c>
      <c r="S122" s="52" t="s">
        <v>38</v>
      </c>
      <c r="AR122" s="61">
        <v>0.7681</v>
      </c>
      <c r="AT122">
        <f t="shared" si="50"/>
        <v>5</v>
      </c>
    </row>
    <row r="123" spans="1:46" x14ac:dyDescent="0.35">
      <c r="A123" s="94"/>
      <c r="B123" s="110" t="s">
        <v>50</v>
      </c>
      <c r="C123" s="47">
        <v>0</v>
      </c>
      <c r="D123" s="47">
        <v>18</v>
      </c>
      <c r="E123" s="47" t="s">
        <v>62</v>
      </c>
      <c r="F123" s="47">
        <v>-78.540000000000006</v>
      </c>
      <c r="G123" s="54">
        <v>2</v>
      </c>
      <c r="H123" s="54">
        <v>76</v>
      </c>
      <c r="I123" s="55">
        <f t="shared" si="31"/>
        <v>78</v>
      </c>
      <c r="J123" s="56">
        <v>1</v>
      </c>
      <c r="K123" s="57">
        <f>(J123-$J$122)*100</f>
        <v>0</v>
      </c>
      <c r="L123" s="57">
        <f t="shared" si="32"/>
        <v>0</v>
      </c>
      <c r="M123" s="54">
        <f>D123-$D$122</f>
        <v>7</v>
      </c>
      <c r="N123" s="57">
        <f t="shared" si="33"/>
        <v>7</v>
      </c>
      <c r="O123" s="57">
        <f>F123-$F$122</f>
        <v>0</v>
      </c>
      <c r="P123" s="57">
        <f t="shared" si="34"/>
        <v>0</v>
      </c>
      <c r="Q123" s="57" t="str">
        <f t="shared" si="42"/>
        <v>No</v>
      </c>
      <c r="R123" s="54">
        <f>I123-$I$122</f>
        <v>0</v>
      </c>
      <c r="S123" s="58">
        <f t="shared" si="35"/>
        <v>0</v>
      </c>
      <c r="AR123" s="61">
        <v>0.1643</v>
      </c>
      <c r="AT123">
        <f t="shared" si="50"/>
        <v>7</v>
      </c>
    </row>
    <row r="124" spans="1:46" x14ac:dyDescent="0.35">
      <c r="A124" s="94"/>
      <c r="B124" s="111"/>
      <c r="C124" s="39">
        <v>0.05</v>
      </c>
      <c r="D124" s="47">
        <v>13</v>
      </c>
      <c r="E124" s="47" t="s">
        <v>62</v>
      </c>
      <c r="F124" s="47">
        <v>-78.540000000000006</v>
      </c>
      <c r="G124" s="54">
        <v>2</v>
      </c>
      <c r="H124" s="54">
        <v>76</v>
      </c>
      <c r="I124" s="55">
        <f t="shared" si="31"/>
        <v>78</v>
      </c>
      <c r="J124" s="56">
        <v>1</v>
      </c>
      <c r="K124" s="57">
        <f t="shared" ref="K124:K141" si="51">(J124-$J$122)*100</f>
        <v>0</v>
      </c>
      <c r="L124" s="57">
        <f t="shared" si="32"/>
        <v>0</v>
      </c>
      <c r="M124" s="54">
        <f t="shared" ref="M124:M141" si="52">D124-$D$122</f>
        <v>2</v>
      </c>
      <c r="N124" s="57">
        <f t="shared" si="33"/>
        <v>2</v>
      </c>
      <c r="O124" s="57">
        <f t="shared" ref="O124:O141" si="53">F124-$F$122</f>
        <v>0</v>
      </c>
      <c r="P124" s="57">
        <f t="shared" si="34"/>
        <v>0</v>
      </c>
      <c r="Q124" s="57" t="str">
        <f t="shared" si="42"/>
        <v>No</v>
      </c>
      <c r="R124" s="54">
        <f t="shared" ref="R124:R141" si="54">I124-$I$122</f>
        <v>0</v>
      </c>
      <c r="S124" s="58">
        <f t="shared" si="35"/>
        <v>0</v>
      </c>
      <c r="AR124" s="61">
        <v>0.98640000000000005</v>
      </c>
      <c r="AT124">
        <f t="shared" si="50"/>
        <v>4</v>
      </c>
    </row>
    <row r="125" spans="1:46" x14ac:dyDescent="0.35">
      <c r="A125" s="94"/>
      <c r="B125" s="111"/>
      <c r="C125" s="39">
        <v>0.25</v>
      </c>
      <c r="D125" s="47">
        <v>11</v>
      </c>
      <c r="E125" s="47" t="s">
        <v>62</v>
      </c>
      <c r="F125" s="47">
        <v>-78.540000000000006</v>
      </c>
      <c r="G125" s="54">
        <v>2</v>
      </c>
      <c r="H125" s="54">
        <v>76</v>
      </c>
      <c r="I125" s="55">
        <f t="shared" si="31"/>
        <v>78</v>
      </c>
      <c r="J125" s="56">
        <v>1</v>
      </c>
      <c r="K125" s="57">
        <f t="shared" si="51"/>
        <v>0</v>
      </c>
      <c r="L125" s="57">
        <f t="shared" si="32"/>
        <v>0</v>
      </c>
      <c r="M125" s="54">
        <f t="shared" si="52"/>
        <v>0</v>
      </c>
      <c r="N125" s="57">
        <f t="shared" si="33"/>
        <v>0</v>
      </c>
      <c r="O125" s="57">
        <f t="shared" si="53"/>
        <v>0</v>
      </c>
      <c r="P125" s="57">
        <f t="shared" si="34"/>
        <v>0</v>
      </c>
      <c r="Q125" s="57" t="str">
        <f t="shared" si="42"/>
        <v>No</v>
      </c>
      <c r="R125" s="54">
        <f t="shared" si="54"/>
        <v>0</v>
      </c>
      <c r="S125" s="58">
        <f t="shared" si="35"/>
        <v>0</v>
      </c>
      <c r="AR125" s="61">
        <v>1</v>
      </c>
      <c r="AT125">
        <f t="shared" si="50"/>
        <v>2</v>
      </c>
    </row>
    <row r="126" spans="1:46" x14ac:dyDescent="0.35">
      <c r="A126" s="94"/>
      <c r="B126" s="111"/>
      <c r="C126" s="39">
        <v>0.35</v>
      </c>
      <c r="D126" s="47">
        <v>11</v>
      </c>
      <c r="E126" s="47" t="s">
        <v>62</v>
      </c>
      <c r="F126" s="47">
        <v>-78.540000000000006</v>
      </c>
      <c r="G126" s="54">
        <v>2</v>
      </c>
      <c r="H126" s="54">
        <v>76</v>
      </c>
      <c r="I126" s="55">
        <f t="shared" si="31"/>
        <v>78</v>
      </c>
      <c r="J126" s="56">
        <v>1</v>
      </c>
      <c r="K126" s="57">
        <f t="shared" si="51"/>
        <v>0</v>
      </c>
      <c r="L126" s="57">
        <f t="shared" si="32"/>
        <v>0</v>
      </c>
      <c r="M126" s="54">
        <f t="shared" si="52"/>
        <v>0</v>
      </c>
      <c r="N126" s="57">
        <f t="shared" si="33"/>
        <v>0</v>
      </c>
      <c r="O126" s="57">
        <f t="shared" si="53"/>
        <v>0</v>
      </c>
      <c r="P126" s="57">
        <f t="shared" si="34"/>
        <v>0</v>
      </c>
      <c r="Q126" s="57" t="str">
        <f t="shared" si="42"/>
        <v>No</v>
      </c>
      <c r="R126" s="54">
        <f t="shared" si="54"/>
        <v>0</v>
      </c>
      <c r="S126" s="58">
        <f t="shared" si="35"/>
        <v>0</v>
      </c>
      <c r="AR126" s="61">
        <v>1</v>
      </c>
      <c r="AT126">
        <f t="shared" si="50"/>
        <v>2</v>
      </c>
    </row>
    <row r="127" spans="1:46" x14ac:dyDescent="0.35">
      <c r="A127" s="94"/>
      <c r="B127" s="111"/>
      <c r="C127" s="44">
        <v>0.45</v>
      </c>
      <c r="D127" s="47">
        <v>11</v>
      </c>
      <c r="E127" s="47" t="s">
        <v>62</v>
      </c>
      <c r="F127" s="47">
        <v>-78.540000000000006</v>
      </c>
      <c r="G127" s="54">
        <v>2</v>
      </c>
      <c r="H127" s="54">
        <v>76</v>
      </c>
      <c r="I127" s="55">
        <f t="shared" si="31"/>
        <v>78</v>
      </c>
      <c r="J127" s="56">
        <v>1</v>
      </c>
      <c r="K127" s="57">
        <f t="shared" si="51"/>
        <v>0</v>
      </c>
      <c r="L127" s="57">
        <f t="shared" si="32"/>
        <v>0</v>
      </c>
      <c r="M127" s="54">
        <f t="shared" si="52"/>
        <v>0</v>
      </c>
      <c r="N127" s="57">
        <f t="shared" si="33"/>
        <v>0</v>
      </c>
      <c r="O127" s="57">
        <f t="shared" si="53"/>
        <v>0</v>
      </c>
      <c r="P127" s="57">
        <f t="shared" si="34"/>
        <v>0</v>
      </c>
      <c r="Q127" s="57" t="str">
        <f t="shared" si="42"/>
        <v>No</v>
      </c>
      <c r="R127" s="54">
        <f t="shared" si="54"/>
        <v>0</v>
      </c>
      <c r="S127" s="58">
        <f t="shared" si="35"/>
        <v>0</v>
      </c>
    </row>
    <row r="128" spans="1:46" x14ac:dyDescent="0.35">
      <c r="A128" s="94"/>
      <c r="B128" s="112"/>
      <c r="C128" s="44">
        <v>0.55000000000000004</v>
      </c>
      <c r="D128" s="47">
        <v>11</v>
      </c>
      <c r="E128" s="47" t="s">
        <v>62</v>
      </c>
      <c r="F128" s="47">
        <v>-78.540000000000006</v>
      </c>
      <c r="G128" s="54">
        <v>2</v>
      </c>
      <c r="H128" s="54">
        <v>76</v>
      </c>
      <c r="I128" s="55">
        <f t="shared" si="31"/>
        <v>78</v>
      </c>
      <c r="J128" s="56">
        <v>1</v>
      </c>
      <c r="K128" s="57">
        <f t="shared" si="51"/>
        <v>0</v>
      </c>
      <c r="L128" s="57">
        <f t="shared" si="32"/>
        <v>0</v>
      </c>
      <c r="M128" s="54">
        <f t="shared" si="52"/>
        <v>0</v>
      </c>
      <c r="N128" s="57">
        <f t="shared" si="33"/>
        <v>0</v>
      </c>
      <c r="O128" s="57">
        <f t="shared" si="53"/>
        <v>0</v>
      </c>
      <c r="P128" s="57">
        <f t="shared" si="34"/>
        <v>0</v>
      </c>
      <c r="Q128" s="57" t="str">
        <f t="shared" si="42"/>
        <v>No</v>
      </c>
      <c r="R128" s="54">
        <f t="shared" si="54"/>
        <v>0</v>
      </c>
      <c r="S128" s="58">
        <f t="shared" si="35"/>
        <v>0</v>
      </c>
      <c r="AR128" s="61" cm="1">
        <f t="array" ref="AR128:AR135">INDEX($J:$J,17+20*_xlfn.SEQUENCE(8,1,0,1))</f>
        <v>0</v>
      </c>
      <c r="AT128">
        <f>_xlfn.RANK.AVG(AR128,$AR$128:$AR$135,0)</f>
        <v>8</v>
      </c>
    </row>
    <row r="129" spans="1:46" x14ac:dyDescent="0.35">
      <c r="A129" s="94"/>
      <c r="B129" s="113" t="s">
        <v>66</v>
      </c>
      <c r="C129" s="44">
        <v>0</v>
      </c>
      <c r="D129" s="47">
        <v>11</v>
      </c>
      <c r="E129" s="47" t="s">
        <v>62</v>
      </c>
      <c r="F129" s="47">
        <v>-78.540000000000006</v>
      </c>
      <c r="G129" s="54">
        <v>0</v>
      </c>
      <c r="H129" s="55">
        <v>76</v>
      </c>
      <c r="I129" s="55">
        <f t="shared" si="31"/>
        <v>76</v>
      </c>
      <c r="J129" s="56">
        <v>0.58050000000000002</v>
      </c>
      <c r="K129" s="57">
        <f t="shared" si="51"/>
        <v>-41.949999999999996</v>
      </c>
      <c r="L129" s="57">
        <f t="shared" si="32"/>
        <v>41.949999999999996</v>
      </c>
      <c r="M129" s="54">
        <f t="shared" si="52"/>
        <v>0</v>
      </c>
      <c r="N129" s="57">
        <f t="shared" si="33"/>
        <v>0</v>
      </c>
      <c r="O129" s="57">
        <f t="shared" si="53"/>
        <v>0</v>
      </c>
      <c r="P129" s="57">
        <f t="shared" si="34"/>
        <v>0</v>
      </c>
      <c r="Q129" s="57" t="str">
        <f t="shared" si="42"/>
        <v>No</v>
      </c>
      <c r="R129" s="54">
        <f t="shared" si="54"/>
        <v>-2</v>
      </c>
      <c r="S129" s="58">
        <f t="shared" si="35"/>
        <v>2</v>
      </c>
      <c r="AR129" s="61">
        <v>1</v>
      </c>
      <c r="AT129">
        <f t="shared" ref="AT129:AT135" si="55">_xlfn.RANK.AVG(AR129,$AR$128:$AR$135,0)</f>
        <v>2</v>
      </c>
    </row>
    <row r="130" spans="1:46" x14ac:dyDescent="0.35">
      <c r="A130" s="94"/>
      <c r="B130" s="111"/>
      <c r="C130" s="44">
        <v>0.05</v>
      </c>
      <c r="D130" s="47">
        <v>11</v>
      </c>
      <c r="E130" s="47" t="s">
        <v>62</v>
      </c>
      <c r="F130" s="47">
        <v>-78.540000000000006</v>
      </c>
      <c r="G130" s="54">
        <v>2</v>
      </c>
      <c r="H130" s="54">
        <v>76</v>
      </c>
      <c r="I130" s="55">
        <f t="shared" si="31"/>
        <v>78</v>
      </c>
      <c r="J130" s="56">
        <v>1</v>
      </c>
      <c r="K130" s="57">
        <f t="shared" si="51"/>
        <v>0</v>
      </c>
      <c r="L130" s="57">
        <f t="shared" si="32"/>
        <v>0</v>
      </c>
      <c r="M130" s="54">
        <f t="shared" si="52"/>
        <v>0</v>
      </c>
      <c r="N130" s="57">
        <f t="shared" si="33"/>
        <v>0</v>
      </c>
      <c r="O130" s="57">
        <f t="shared" si="53"/>
        <v>0</v>
      </c>
      <c r="P130" s="57">
        <f t="shared" si="34"/>
        <v>0</v>
      </c>
      <c r="Q130" s="57" t="str">
        <f t="shared" si="42"/>
        <v>No</v>
      </c>
      <c r="R130" s="54">
        <f t="shared" si="54"/>
        <v>0</v>
      </c>
      <c r="S130" s="58">
        <f t="shared" si="35"/>
        <v>0</v>
      </c>
      <c r="AR130" s="61">
        <v>0.6008</v>
      </c>
      <c r="AT130">
        <f t="shared" si="55"/>
        <v>6</v>
      </c>
    </row>
    <row r="131" spans="1:46" x14ac:dyDescent="0.35">
      <c r="A131" s="94"/>
      <c r="B131" s="111"/>
      <c r="C131" s="44">
        <v>0.25</v>
      </c>
      <c r="D131" s="47">
        <v>11</v>
      </c>
      <c r="E131" s="47" t="s">
        <v>62</v>
      </c>
      <c r="F131" s="47">
        <v>-78.540000000000006</v>
      </c>
      <c r="G131" s="54">
        <v>2</v>
      </c>
      <c r="H131" s="54">
        <v>76</v>
      </c>
      <c r="I131" s="55">
        <f t="shared" ref="I131:I161" si="56">H131+G131</f>
        <v>78</v>
      </c>
      <c r="J131" s="56">
        <v>1</v>
      </c>
      <c r="K131" s="57">
        <f t="shared" si="51"/>
        <v>0</v>
      </c>
      <c r="L131" s="57">
        <f t="shared" si="32"/>
        <v>0</v>
      </c>
      <c r="M131" s="54">
        <f t="shared" si="52"/>
        <v>0</v>
      </c>
      <c r="N131" s="57">
        <f t="shared" si="33"/>
        <v>0</v>
      </c>
      <c r="O131" s="57">
        <f t="shared" si="53"/>
        <v>0</v>
      </c>
      <c r="P131" s="57">
        <f t="shared" si="34"/>
        <v>0</v>
      </c>
      <c r="Q131" s="57" t="str">
        <f t="shared" si="42"/>
        <v>No</v>
      </c>
      <c r="R131" s="54">
        <f t="shared" si="54"/>
        <v>0</v>
      </c>
      <c r="S131" s="58">
        <f t="shared" si="35"/>
        <v>0</v>
      </c>
      <c r="AR131" s="61">
        <v>0.7681</v>
      </c>
      <c r="AT131">
        <f t="shared" si="55"/>
        <v>5</v>
      </c>
    </row>
    <row r="132" spans="1:46" x14ac:dyDescent="0.35">
      <c r="A132" s="94"/>
      <c r="B132" s="111"/>
      <c r="C132" s="44">
        <v>0.35</v>
      </c>
      <c r="D132" s="47">
        <v>11</v>
      </c>
      <c r="E132" s="47" t="s">
        <v>62</v>
      </c>
      <c r="F132" s="47">
        <v>-78.540000000000006</v>
      </c>
      <c r="G132" s="54">
        <v>2</v>
      </c>
      <c r="H132" s="54">
        <v>76</v>
      </c>
      <c r="I132" s="55">
        <f t="shared" si="56"/>
        <v>78</v>
      </c>
      <c r="J132" s="56">
        <v>1</v>
      </c>
      <c r="K132" s="57">
        <f t="shared" si="51"/>
        <v>0</v>
      </c>
      <c r="L132" s="57">
        <f t="shared" ref="L132:L161" si="57">ABS(K132)</f>
        <v>0</v>
      </c>
      <c r="M132" s="54">
        <f t="shared" si="52"/>
        <v>0</v>
      </c>
      <c r="N132" s="57">
        <f t="shared" ref="N132:N161" si="58">ABS(M132)</f>
        <v>0</v>
      </c>
      <c r="O132" s="57">
        <f t="shared" si="53"/>
        <v>0</v>
      </c>
      <c r="P132" s="57">
        <f t="shared" ref="P132:P161" si="59">ABS(O132)</f>
        <v>0</v>
      </c>
      <c r="Q132" s="57" t="str">
        <f t="shared" si="42"/>
        <v>No</v>
      </c>
      <c r="R132" s="54">
        <f t="shared" si="54"/>
        <v>0</v>
      </c>
      <c r="S132" s="58">
        <f t="shared" ref="S132:S161" si="60">ABS(R132)</f>
        <v>0</v>
      </c>
      <c r="AR132" s="61">
        <v>0.51200000000000001</v>
      </c>
      <c r="AT132">
        <f t="shared" si="55"/>
        <v>7</v>
      </c>
    </row>
    <row r="133" spans="1:46" x14ac:dyDescent="0.35">
      <c r="A133" s="94"/>
      <c r="B133" s="111"/>
      <c r="C133" s="44">
        <v>0.45</v>
      </c>
      <c r="D133" s="47">
        <v>11</v>
      </c>
      <c r="E133" s="47" t="s">
        <v>62</v>
      </c>
      <c r="F133" s="47">
        <v>-78.540000000000006</v>
      </c>
      <c r="G133" s="54">
        <v>2</v>
      </c>
      <c r="H133" s="54">
        <v>76</v>
      </c>
      <c r="I133" s="55">
        <f t="shared" si="56"/>
        <v>78</v>
      </c>
      <c r="J133" s="56">
        <v>1</v>
      </c>
      <c r="K133" s="57">
        <f t="shared" si="51"/>
        <v>0</v>
      </c>
      <c r="L133" s="57">
        <f t="shared" si="57"/>
        <v>0</v>
      </c>
      <c r="M133" s="54">
        <f t="shared" si="52"/>
        <v>0</v>
      </c>
      <c r="N133" s="57">
        <f t="shared" si="58"/>
        <v>0</v>
      </c>
      <c r="O133" s="57">
        <f t="shared" si="53"/>
        <v>0</v>
      </c>
      <c r="P133" s="57">
        <f t="shared" si="59"/>
        <v>0</v>
      </c>
      <c r="Q133" s="57" t="str">
        <f t="shared" si="42"/>
        <v>No</v>
      </c>
      <c r="R133" s="54">
        <f t="shared" si="54"/>
        <v>0</v>
      </c>
      <c r="S133" s="58">
        <f t="shared" si="60"/>
        <v>0</v>
      </c>
      <c r="AR133" s="61">
        <v>0.98640000000000005</v>
      </c>
      <c r="AT133">
        <f t="shared" si="55"/>
        <v>4</v>
      </c>
    </row>
    <row r="134" spans="1:46" x14ac:dyDescent="0.35">
      <c r="A134" s="94"/>
      <c r="B134" s="112"/>
      <c r="C134" s="44">
        <v>0.55000000000000004</v>
      </c>
      <c r="D134" s="47">
        <v>11</v>
      </c>
      <c r="E134" s="47" t="s">
        <v>62</v>
      </c>
      <c r="F134" s="47">
        <v>-78.540000000000006</v>
      </c>
      <c r="G134" s="54">
        <v>2</v>
      </c>
      <c r="H134" s="54">
        <v>76</v>
      </c>
      <c r="I134" s="55">
        <f t="shared" si="56"/>
        <v>78</v>
      </c>
      <c r="J134" s="56">
        <v>1</v>
      </c>
      <c r="K134" s="57">
        <f t="shared" si="51"/>
        <v>0</v>
      </c>
      <c r="L134" s="57">
        <f t="shared" si="57"/>
        <v>0</v>
      </c>
      <c r="M134" s="54">
        <f t="shared" si="52"/>
        <v>0</v>
      </c>
      <c r="N134" s="57">
        <f t="shared" si="58"/>
        <v>0</v>
      </c>
      <c r="O134" s="57">
        <f t="shared" si="53"/>
        <v>0</v>
      </c>
      <c r="P134" s="57">
        <f t="shared" si="59"/>
        <v>0</v>
      </c>
      <c r="Q134" s="57" t="str">
        <f t="shared" si="42"/>
        <v>No</v>
      </c>
      <c r="R134" s="54">
        <f t="shared" si="54"/>
        <v>0</v>
      </c>
      <c r="S134" s="58">
        <f t="shared" si="60"/>
        <v>0</v>
      </c>
      <c r="AR134" s="61">
        <v>1</v>
      </c>
      <c r="AT134">
        <f t="shared" si="55"/>
        <v>2</v>
      </c>
    </row>
    <row r="135" spans="1:46" x14ac:dyDescent="0.35">
      <c r="A135" s="94"/>
      <c r="B135" s="110" t="s">
        <v>51</v>
      </c>
      <c r="C135" s="44">
        <v>0</v>
      </c>
      <c r="D135" s="47">
        <v>11</v>
      </c>
      <c r="E135" s="47" t="s">
        <v>62</v>
      </c>
      <c r="F135" s="47">
        <v>-72.25</v>
      </c>
      <c r="G135" s="54">
        <v>9</v>
      </c>
      <c r="H135" s="55">
        <v>18</v>
      </c>
      <c r="I135" s="55">
        <f t="shared" si="56"/>
        <v>27</v>
      </c>
      <c r="J135" s="56">
        <v>0.16880000000000001</v>
      </c>
      <c r="K135" s="57">
        <f t="shared" si="51"/>
        <v>-83.11999999999999</v>
      </c>
      <c r="L135" s="57">
        <f t="shared" si="57"/>
        <v>83.11999999999999</v>
      </c>
      <c r="M135" s="54">
        <f t="shared" si="52"/>
        <v>0</v>
      </c>
      <c r="N135" s="57">
        <f t="shared" si="58"/>
        <v>0</v>
      </c>
      <c r="O135" s="57">
        <f t="shared" si="53"/>
        <v>6.2900000000000063</v>
      </c>
      <c r="P135" s="57">
        <f t="shared" si="59"/>
        <v>6.2900000000000063</v>
      </c>
      <c r="Q135" s="57" t="str">
        <f t="shared" si="42"/>
        <v>Yes</v>
      </c>
      <c r="R135" s="54">
        <f t="shared" si="54"/>
        <v>-51</v>
      </c>
      <c r="S135" s="58">
        <f t="shared" si="60"/>
        <v>51</v>
      </c>
      <c r="AR135" s="61">
        <v>1</v>
      </c>
      <c r="AT135">
        <f t="shared" si="55"/>
        <v>2</v>
      </c>
    </row>
    <row r="136" spans="1:46" x14ac:dyDescent="0.35">
      <c r="A136" s="94"/>
      <c r="B136" s="111"/>
      <c r="C136" s="44">
        <v>0.05</v>
      </c>
      <c r="D136" s="47">
        <v>11</v>
      </c>
      <c r="E136" s="47" t="s">
        <v>62</v>
      </c>
      <c r="F136" s="47">
        <v>-78.540000000000006</v>
      </c>
      <c r="G136" s="54">
        <v>2</v>
      </c>
      <c r="H136" s="54">
        <v>76</v>
      </c>
      <c r="I136" s="55">
        <f t="shared" si="56"/>
        <v>78</v>
      </c>
      <c r="J136" s="56">
        <v>1</v>
      </c>
      <c r="K136" s="57">
        <f t="shared" si="51"/>
        <v>0</v>
      </c>
      <c r="L136" s="57">
        <f t="shared" si="57"/>
        <v>0</v>
      </c>
      <c r="M136" s="54">
        <f t="shared" si="52"/>
        <v>0</v>
      </c>
      <c r="N136" s="57">
        <f t="shared" si="58"/>
        <v>0</v>
      </c>
      <c r="O136" s="57">
        <f t="shared" si="53"/>
        <v>0</v>
      </c>
      <c r="P136" s="57">
        <f t="shared" si="59"/>
        <v>0</v>
      </c>
      <c r="Q136" s="57" t="str">
        <f t="shared" si="42"/>
        <v>No</v>
      </c>
      <c r="R136" s="54">
        <f t="shared" si="54"/>
        <v>0</v>
      </c>
      <c r="S136" s="58">
        <f t="shared" si="60"/>
        <v>0</v>
      </c>
    </row>
    <row r="137" spans="1:46" x14ac:dyDescent="0.35">
      <c r="A137" s="94"/>
      <c r="B137" s="111"/>
      <c r="C137" s="44">
        <v>0.15</v>
      </c>
      <c r="D137" s="47">
        <v>11</v>
      </c>
      <c r="E137" s="47" t="s">
        <v>62</v>
      </c>
      <c r="F137" s="47">
        <v>-78.540000000000006</v>
      </c>
      <c r="G137" s="54">
        <v>2</v>
      </c>
      <c r="H137" s="54">
        <v>76</v>
      </c>
      <c r="I137" s="55">
        <f t="shared" si="56"/>
        <v>78</v>
      </c>
      <c r="J137" s="56">
        <v>1</v>
      </c>
      <c r="K137" s="57">
        <f t="shared" si="51"/>
        <v>0</v>
      </c>
      <c r="L137" s="57">
        <f t="shared" si="57"/>
        <v>0</v>
      </c>
      <c r="M137" s="54">
        <f t="shared" si="52"/>
        <v>0</v>
      </c>
      <c r="N137" s="57">
        <f t="shared" si="58"/>
        <v>0</v>
      </c>
      <c r="O137" s="57">
        <f t="shared" si="53"/>
        <v>0</v>
      </c>
      <c r="P137" s="57">
        <f t="shared" si="59"/>
        <v>0</v>
      </c>
      <c r="Q137" s="57" t="str">
        <f t="shared" si="42"/>
        <v>No</v>
      </c>
      <c r="R137" s="54">
        <f t="shared" si="54"/>
        <v>0</v>
      </c>
      <c r="S137" s="58">
        <f t="shared" si="60"/>
        <v>0</v>
      </c>
      <c r="AR137" s="61" cm="1">
        <f t="array" ref="AR137:AR144">INDEX($J:$J,18+20*_xlfn.SEQUENCE(8,1,0,1))</f>
        <v>0</v>
      </c>
      <c r="AT137">
        <f>_xlfn.RANK.AVG(AR137,$AR$137:$AR$144,0)</f>
        <v>8</v>
      </c>
    </row>
    <row r="138" spans="1:46" x14ac:dyDescent="0.35">
      <c r="A138" s="94"/>
      <c r="B138" s="111"/>
      <c r="C138" s="44">
        <v>0.25</v>
      </c>
      <c r="D138" s="47">
        <v>11</v>
      </c>
      <c r="E138" s="47" t="s">
        <v>62</v>
      </c>
      <c r="F138" s="47">
        <v>-78.540000000000006</v>
      </c>
      <c r="G138" s="54">
        <v>2</v>
      </c>
      <c r="H138" s="54">
        <v>76</v>
      </c>
      <c r="I138" s="55">
        <f t="shared" si="56"/>
        <v>78</v>
      </c>
      <c r="J138" s="56">
        <v>1</v>
      </c>
      <c r="K138" s="57">
        <f t="shared" si="51"/>
        <v>0</v>
      </c>
      <c r="L138" s="57">
        <f t="shared" si="57"/>
        <v>0</v>
      </c>
      <c r="M138" s="54">
        <f t="shared" si="52"/>
        <v>0</v>
      </c>
      <c r="N138" s="57">
        <f t="shared" si="58"/>
        <v>0</v>
      </c>
      <c r="O138" s="57">
        <f t="shared" si="53"/>
        <v>0</v>
      </c>
      <c r="P138" s="57">
        <f t="shared" si="59"/>
        <v>0</v>
      </c>
      <c r="Q138" s="57" t="str">
        <f t="shared" si="42"/>
        <v>No</v>
      </c>
      <c r="R138" s="54">
        <f t="shared" si="54"/>
        <v>0</v>
      </c>
      <c r="S138" s="58">
        <f t="shared" si="60"/>
        <v>0</v>
      </c>
      <c r="AR138" s="61">
        <v>1</v>
      </c>
      <c r="AT138">
        <f t="shared" ref="AT138:AT144" si="61">_xlfn.RANK.AVG(AR138,$AR$137:$AR$144,0)</f>
        <v>2</v>
      </c>
    </row>
    <row r="139" spans="1:46" x14ac:dyDescent="0.35">
      <c r="A139" s="94"/>
      <c r="B139" s="111"/>
      <c r="C139" s="45">
        <v>0.45</v>
      </c>
      <c r="D139" s="47">
        <v>11</v>
      </c>
      <c r="E139" s="47" t="s">
        <v>62</v>
      </c>
      <c r="F139" s="47">
        <v>-78.540000000000006</v>
      </c>
      <c r="G139" s="54">
        <v>2</v>
      </c>
      <c r="H139" s="54">
        <v>76</v>
      </c>
      <c r="I139" s="55">
        <f t="shared" si="56"/>
        <v>78</v>
      </c>
      <c r="J139" s="56">
        <v>1</v>
      </c>
      <c r="K139" s="57">
        <f t="shared" si="51"/>
        <v>0</v>
      </c>
      <c r="L139" s="57">
        <f t="shared" si="57"/>
        <v>0</v>
      </c>
      <c r="M139" s="54">
        <f t="shared" si="52"/>
        <v>0</v>
      </c>
      <c r="N139" s="57">
        <f t="shared" si="58"/>
        <v>0</v>
      </c>
      <c r="O139" s="57">
        <f t="shared" si="53"/>
        <v>0</v>
      </c>
      <c r="P139" s="57">
        <f t="shared" si="59"/>
        <v>0</v>
      </c>
      <c r="Q139" s="57" t="str">
        <f t="shared" si="42"/>
        <v>No</v>
      </c>
      <c r="R139" s="54">
        <f t="shared" si="54"/>
        <v>0</v>
      </c>
      <c r="S139" s="58">
        <f t="shared" si="60"/>
        <v>0</v>
      </c>
      <c r="AR139" s="61">
        <v>0.6008</v>
      </c>
      <c r="AT139">
        <f t="shared" si="61"/>
        <v>6</v>
      </c>
    </row>
    <row r="140" spans="1:46" x14ac:dyDescent="0.35">
      <c r="A140" s="94"/>
      <c r="B140" s="111"/>
      <c r="C140" s="45">
        <v>0.55000000000000004</v>
      </c>
      <c r="D140" s="47">
        <v>11</v>
      </c>
      <c r="E140" s="47" t="s">
        <v>62</v>
      </c>
      <c r="F140" s="47">
        <v>-78.540000000000006</v>
      </c>
      <c r="G140" s="54">
        <v>2</v>
      </c>
      <c r="H140" s="54">
        <v>76</v>
      </c>
      <c r="I140" s="55">
        <f t="shared" si="56"/>
        <v>78</v>
      </c>
      <c r="J140" s="56">
        <v>1</v>
      </c>
      <c r="K140" s="57">
        <f t="shared" si="51"/>
        <v>0</v>
      </c>
      <c r="L140" s="57">
        <f t="shared" si="57"/>
        <v>0</v>
      </c>
      <c r="M140" s="54">
        <f t="shared" si="52"/>
        <v>0</v>
      </c>
      <c r="N140" s="57">
        <f t="shared" si="58"/>
        <v>0</v>
      </c>
      <c r="O140" s="57">
        <f t="shared" si="53"/>
        <v>0</v>
      </c>
      <c r="P140" s="57">
        <f t="shared" si="59"/>
        <v>0</v>
      </c>
      <c r="Q140" s="57" t="str">
        <f t="shared" si="42"/>
        <v>No</v>
      </c>
      <c r="R140" s="54">
        <f t="shared" si="54"/>
        <v>0</v>
      </c>
      <c r="S140" s="58">
        <f t="shared" si="60"/>
        <v>0</v>
      </c>
      <c r="AR140" s="61">
        <v>0.7681</v>
      </c>
      <c r="AT140">
        <f t="shared" si="61"/>
        <v>5</v>
      </c>
    </row>
    <row r="141" spans="1:46" x14ac:dyDescent="0.35">
      <c r="A141" s="94"/>
      <c r="B141" s="112"/>
      <c r="C141" s="45">
        <v>0.65</v>
      </c>
      <c r="D141" s="47">
        <v>11</v>
      </c>
      <c r="E141" s="47" t="s">
        <v>62</v>
      </c>
      <c r="F141" s="47">
        <v>-78.540000000000006</v>
      </c>
      <c r="G141" s="54">
        <v>2</v>
      </c>
      <c r="H141" s="54">
        <v>76</v>
      </c>
      <c r="I141" s="55">
        <f t="shared" si="56"/>
        <v>78</v>
      </c>
      <c r="J141" s="56">
        <v>1</v>
      </c>
      <c r="K141" s="57">
        <f t="shared" si="51"/>
        <v>0</v>
      </c>
      <c r="L141" s="57">
        <f t="shared" si="57"/>
        <v>0</v>
      </c>
      <c r="M141" s="54">
        <f t="shared" si="52"/>
        <v>0</v>
      </c>
      <c r="N141" s="57">
        <f t="shared" si="58"/>
        <v>0</v>
      </c>
      <c r="O141" s="57">
        <f t="shared" si="53"/>
        <v>0</v>
      </c>
      <c r="P141" s="57">
        <f t="shared" si="59"/>
        <v>0</v>
      </c>
      <c r="Q141" s="57" t="str">
        <f t="shared" si="42"/>
        <v>No</v>
      </c>
      <c r="R141" s="54">
        <f t="shared" si="54"/>
        <v>0</v>
      </c>
      <c r="S141" s="58">
        <f t="shared" si="60"/>
        <v>0</v>
      </c>
      <c r="AR141" s="61">
        <v>0.51200000000000001</v>
      </c>
      <c r="AT141">
        <f t="shared" si="61"/>
        <v>7</v>
      </c>
    </row>
    <row r="142" spans="1:46" x14ac:dyDescent="0.35">
      <c r="A142" s="94" t="s">
        <v>12</v>
      </c>
      <c r="B142" s="96" t="s">
        <v>52</v>
      </c>
      <c r="C142" s="96"/>
      <c r="D142" s="46">
        <v>16</v>
      </c>
      <c r="E142" s="46" t="s">
        <v>62</v>
      </c>
      <c r="F142" s="46">
        <v>-109.83</v>
      </c>
      <c r="G142" s="49">
        <v>3</v>
      </c>
      <c r="H142" s="49">
        <v>100</v>
      </c>
      <c r="I142" s="50">
        <f t="shared" si="56"/>
        <v>103</v>
      </c>
      <c r="J142" s="51">
        <v>1</v>
      </c>
      <c r="K142" s="52" t="s">
        <v>38</v>
      </c>
      <c r="L142" s="52" t="s">
        <v>38</v>
      </c>
      <c r="M142" s="52" t="s">
        <v>38</v>
      </c>
      <c r="N142" s="52" t="s">
        <v>38</v>
      </c>
      <c r="O142" s="52" t="s">
        <v>38</v>
      </c>
      <c r="P142" s="52" t="s">
        <v>38</v>
      </c>
      <c r="Q142" s="52" t="s">
        <v>38</v>
      </c>
      <c r="R142" s="52" t="s">
        <v>38</v>
      </c>
      <c r="S142" s="52" t="s">
        <v>38</v>
      </c>
      <c r="AR142" s="61">
        <v>0.98640000000000005</v>
      </c>
      <c r="AT142">
        <f t="shared" si="61"/>
        <v>4</v>
      </c>
    </row>
    <row r="143" spans="1:46" x14ac:dyDescent="0.35">
      <c r="A143" s="94"/>
      <c r="B143" s="110" t="s">
        <v>50</v>
      </c>
      <c r="C143" s="47">
        <v>0</v>
      </c>
      <c r="D143" s="47">
        <v>27</v>
      </c>
      <c r="E143" s="47" t="s">
        <v>62</v>
      </c>
      <c r="F143" s="47">
        <v>-109.83</v>
      </c>
      <c r="G143" s="54">
        <v>3</v>
      </c>
      <c r="H143" s="54">
        <v>100</v>
      </c>
      <c r="I143" s="55">
        <f t="shared" si="56"/>
        <v>103</v>
      </c>
      <c r="J143" s="56">
        <v>1</v>
      </c>
      <c r="K143" s="57">
        <f>(J143-$J$142)*100</f>
        <v>0</v>
      </c>
      <c r="L143" s="57">
        <f t="shared" si="57"/>
        <v>0</v>
      </c>
      <c r="M143" s="54">
        <f>D143-$D$142</f>
        <v>11</v>
      </c>
      <c r="N143" s="57">
        <f t="shared" si="58"/>
        <v>11</v>
      </c>
      <c r="O143" s="57">
        <f>F143-$F$142</f>
        <v>0</v>
      </c>
      <c r="P143" s="57">
        <f t="shared" si="59"/>
        <v>0</v>
      </c>
      <c r="Q143" s="57" t="str">
        <f t="shared" si="42"/>
        <v>No</v>
      </c>
      <c r="R143" s="54">
        <f>I143-$I$142</f>
        <v>0</v>
      </c>
      <c r="S143" s="58">
        <f t="shared" si="60"/>
        <v>0</v>
      </c>
      <c r="AR143" s="61">
        <v>1</v>
      </c>
      <c r="AT143">
        <f t="shared" si="61"/>
        <v>2</v>
      </c>
    </row>
    <row r="144" spans="1:46" x14ac:dyDescent="0.35">
      <c r="A144" s="94"/>
      <c r="B144" s="111"/>
      <c r="C144" s="39">
        <v>0.05</v>
      </c>
      <c r="D144" s="47">
        <v>19</v>
      </c>
      <c r="E144" s="47" t="s">
        <v>62</v>
      </c>
      <c r="F144" s="47">
        <v>-109.83</v>
      </c>
      <c r="G144" s="54">
        <v>3</v>
      </c>
      <c r="H144" s="54">
        <v>100</v>
      </c>
      <c r="I144" s="55">
        <f t="shared" si="56"/>
        <v>103</v>
      </c>
      <c r="J144" s="56">
        <v>1</v>
      </c>
      <c r="K144" s="57">
        <f t="shared" ref="K144:K161" si="62">(J144-$J$142)*100</f>
        <v>0</v>
      </c>
      <c r="L144" s="57">
        <f t="shared" si="57"/>
        <v>0</v>
      </c>
      <c r="M144" s="54">
        <f t="shared" ref="M144:M161" si="63">D144-$D$142</f>
        <v>3</v>
      </c>
      <c r="N144" s="57">
        <f t="shared" si="58"/>
        <v>3</v>
      </c>
      <c r="O144" s="57">
        <f t="shared" ref="O144:O161" si="64">F144-$F$142</f>
        <v>0</v>
      </c>
      <c r="P144" s="57">
        <f t="shared" si="59"/>
        <v>0</v>
      </c>
      <c r="Q144" s="57" t="str">
        <f t="shared" si="42"/>
        <v>No</v>
      </c>
      <c r="R144" s="54">
        <f t="shared" ref="R144:R161" si="65">I144-$I$142</f>
        <v>0</v>
      </c>
      <c r="S144" s="58">
        <f t="shared" si="60"/>
        <v>0</v>
      </c>
      <c r="AR144" s="61">
        <v>1</v>
      </c>
      <c r="AT144">
        <f t="shared" si="61"/>
        <v>2</v>
      </c>
    </row>
    <row r="145" spans="1:46" x14ac:dyDescent="0.35">
      <c r="A145" s="94"/>
      <c r="B145" s="111"/>
      <c r="C145" s="39">
        <v>0.25</v>
      </c>
      <c r="D145" s="47">
        <v>17</v>
      </c>
      <c r="E145" s="47" t="s">
        <v>62</v>
      </c>
      <c r="F145" s="47">
        <v>-109.83</v>
      </c>
      <c r="G145" s="54">
        <v>3</v>
      </c>
      <c r="H145" s="54">
        <v>100</v>
      </c>
      <c r="I145" s="55">
        <f t="shared" si="56"/>
        <v>103</v>
      </c>
      <c r="J145" s="56">
        <v>1</v>
      </c>
      <c r="K145" s="57">
        <f t="shared" si="62"/>
        <v>0</v>
      </c>
      <c r="L145" s="57">
        <f t="shared" si="57"/>
        <v>0</v>
      </c>
      <c r="M145" s="54">
        <f t="shared" si="63"/>
        <v>1</v>
      </c>
      <c r="N145" s="57">
        <f t="shared" si="58"/>
        <v>1</v>
      </c>
      <c r="O145" s="57">
        <f t="shared" si="64"/>
        <v>0</v>
      </c>
      <c r="P145" s="57">
        <f t="shared" si="59"/>
        <v>0</v>
      </c>
      <c r="Q145" s="57" t="str">
        <f t="shared" si="42"/>
        <v>No</v>
      </c>
      <c r="R145" s="54">
        <f t="shared" si="65"/>
        <v>0</v>
      </c>
      <c r="S145" s="58">
        <f t="shared" si="60"/>
        <v>0</v>
      </c>
    </row>
    <row r="146" spans="1:46" x14ac:dyDescent="0.35">
      <c r="A146" s="94"/>
      <c r="B146" s="111"/>
      <c r="C146" s="39">
        <v>0.35</v>
      </c>
      <c r="D146" s="47">
        <v>17</v>
      </c>
      <c r="E146" s="47" t="s">
        <v>62</v>
      </c>
      <c r="F146" s="47">
        <v>-109.83</v>
      </c>
      <c r="G146" s="54">
        <v>3</v>
      </c>
      <c r="H146" s="54">
        <v>100</v>
      </c>
      <c r="I146" s="55">
        <f t="shared" si="56"/>
        <v>103</v>
      </c>
      <c r="J146" s="56">
        <v>1</v>
      </c>
      <c r="K146" s="57">
        <f t="shared" si="62"/>
        <v>0</v>
      </c>
      <c r="L146" s="57">
        <f t="shared" si="57"/>
        <v>0</v>
      </c>
      <c r="M146" s="54">
        <f t="shared" si="63"/>
        <v>1</v>
      </c>
      <c r="N146" s="57">
        <f t="shared" si="58"/>
        <v>1</v>
      </c>
      <c r="O146" s="57">
        <f t="shared" si="64"/>
        <v>0</v>
      </c>
      <c r="P146" s="57">
        <f t="shared" si="59"/>
        <v>0</v>
      </c>
      <c r="Q146" s="57" t="str">
        <f t="shared" si="42"/>
        <v>No</v>
      </c>
      <c r="R146" s="54">
        <f t="shared" si="65"/>
        <v>0</v>
      </c>
      <c r="S146" s="58">
        <f t="shared" si="60"/>
        <v>0</v>
      </c>
      <c r="AR146" s="61" cm="1">
        <f t="array" ref="AR146:AR153">INDEX($J:$J,19+20*_xlfn.SEQUENCE(8,1,0,1))</f>
        <v>0</v>
      </c>
      <c r="AT146">
        <f>_xlfn.RANK.AVG(AR146,$AR$146:$AR$153,0)</f>
        <v>8</v>
      </c>
    </row>
    <row r="147" spans="1:46" x14ac:dyDescent="0.35">
      <c r="A147" s="94"/>
      <c r="B147" s="111"/>
      <c r="C147" s="44">
        <v>0.45</v>
      </c>
      <c r="D147" s="47">
        <v>15</v>
      </c>
      <c r="E147" s="47" t="s">
        <v>62</v>
      </c>
      <c r="F147" s="47">
        <v>-109.83</v>
      </c>
      <c r="G147" s="54">
        <v>3</v>
      </c>
      <c r="H147" s="54">
        <v>100</v>
      </c>
      <c r="I147" s="55">
        <f t="shared" si="56"/>
        <v>103</v>
      </c>
      <c r="J147" s="56">
        <v>1</v>
      </c>
      <c r="K147" s="57">
        <f t="shared" si="62"/>
        <v>0</v>
      </c>
      <c r="L147" s="57">
        <f t="shared" si="57"/>
        <v>0</v>
      </c>
      <c r="M147" s="54">
        <f t="shared" si="63"/>
        <v>-1</v>
      </c>
      <c r="N147" s="57">
        <f t="shared" si="58"/>
        <v>1</v>
      </c>
      <c r="O147" s="57">
        <f t="shared" si="64"/>
        <v>0</v>
      </c>
      <c r="P147" s="57">
        <f t="shared" si="59"/>
        <v>0</v>
      </c>
      <c r="Q147" s="57" t="str">
        <f t="shared" si="42"/>
        <v>No</v>
      </c>
      <c r="R147" s="54">
        <f t="shared" si="65"/>
        <v>0</v>
      </c>
      <c r="S147" s="58">
        <f t="shared" si="60"/>
        <v>0</v>
      </c>
      <c r="AR147" s="61">
        <v>1</v>
      </c>
      <c r="AT147">
        <f t="shared" ref="AT147:AT153" si="66">_xlfn.RANK.AVG(AR147,$AR$146:$AR$153,0)</f>
        <v>2</v>
      </c>
    </row>
    <row r="148" spans="1:46" x14ac:dyDescent="0.35">
      <c r="A148" s="94"/>
      <c r="B148" s="112"/>
      <c r="C148" s="44">
        <v>0.55000000000000004</v>
      </c>
      <c r="D148" s="47">
        <v>13</v>
      </c>
      <c r="E148" s="47" t="s">
        <v>62</v>
      </c>
      <c r="F148" s="47">
        <v>-109.83</v>
      </c>
      <c r="G148" s="54">
        <v>3</v>
      </c>
      <c r="H148" s="54">
        <v>100</v>
      </c>
      <c r="I148" s="55">
        <f t="shared" si="56"/>
        <v>103</v>
      </c>
      <c r="J148" s="56">
        <v>1</v>
      </c>
      <c r="K148" s="57">
        <f t="shared" si="62"/>
        <v>0</v>
      </c>
      <c r="L148" s="57">
        <f t="shared" si="57"/>
        <v>0</v>
      </c>
      <c r="M148" s="54">
        <f t="shared" si="63"/>
        <v>-3</v>
      </c>
      <c r="N148" s="57">
        <f t="shared" si="58"/>
        <v>3</v>
      </c>
      <c r="O148" s="57">
        <f t="shared" si="64"/>
        <v>0</v>
      </c>
      <c r="P148" s="57">
        <f t="shared" si="59"/>
        <v>0</v>
      </c>
      <c r="Q148" s="57" t="str">
        <f t="shared" si="42"/>
        <v>No</v>
      </c>
      <c r="R148" s="54">
        <f t="shared" si="65"/>
        <v>0</v>
      </c>
      <c r="S148" s="58">
        <f t="shared" si="60"/>
        <v>0</v>
      </c>
      <c r="AR148" s="61">
        <v>0.6008</v>
      </c>
      <c r="AT148">
        <f t="shared" si="66"/>
        <v>6</v>
      </c>
    </row>
    <row r="149" spans="1:46" x14ac:dyDescent="0.35">
      <c r="A149" s="94"/>
      <c r="B149" s="113" t="s">
        <v>66</v>
      </c>
      <c r="C149" s="44">
        <v>0</v>
      </c>
      <c r="D149" s="47">
        <v>16</v>
      </c>
      <c r="E149" s="47" t="s">
        <v>62</v>
      </c>
      <c r="F149" s="47">
        <v>-109.83</v>
      </c>
      <c r="G149" s="54">
        <v>3</v>
      </c>
      <c r="H149" s="54">
        <v>100</v>
      </c>
      <c r="I149" s="55">
        <f t="shared" si="56"/>
        <v>103</v>
      </c>
      <c r="J149" s="56">
        <v>1</v>
      </c>
      <c r="K149" s="57">
        <f t="shared" si="62"/>
        <v>0</v>
      </c>
      <c r="L149" s="57">
        <f t="shared" si="57"/>
        <v>0</v>
      </c>
      <c r="M149" s="54">
        <f t="shared" si="63"/>
        <v>0</v>
      </c>
      <c r="N149" s="57">
        <f t="shared" si="58"/>
        <v>0</v>
      </c>
      <c r="O149" s="57">
        <f t="shared" si="64"/>
        <v>0</v>
      </c>
      <c r="P149" s="57">
        <f t="shared" si="59"/>
        <v>0</v>
      </c>
      <c r="Q149" s="57" t="str">
        <f t="shared" si="42"/>
        <v>No</v>
      </c>
      <c r="R149" s="54">
        <f t="shared" si="65"/>
        <v>0</v>
      </c>
      <c r="S149" s="58">
        <f t="shared" si="60"/>
        <v>0</v>
      </c>
      <c r="AR149" s="61">
        <v>0.7681</v>
      </c>
      <c r="AT149">
        <f t="shared" si="66"/>
        <v>5</v>
      </c>
    </row>
    <row r="150" spans="1:46" x14ac:dyDescent="0.35">
      <c r="A150" s="94"/>
      <c r="B150" s="111"/>
      <c r="C150" s="44">
        <v>0.05</v>
      </c>
      <c r="D150" s="47">
        <v>16</v>
      </c>
      <c r="E150" s="47" t="s">
        <v>62</v>
      </c>
      <c r="F150" s="47">
        <v>-109.83</v>
      </c>
      <c r="G150" s="54">
        <v>3</v>
      </c>
      <c r="H150" s="54">
        <v>100</v>
      </c>
      <c r="I150" s="55">
        <f t="shared" si="56"/>
        <v>103</v>
      </c>
      <c r="J150" s="56">
        <v>1</v>
      </c>
      <c r="K150" s="57">
        <f t="shared" si="62"/>
        <v>0</v>
      </c>
      <c r="L150" s="57">
        <f t="shared" si="57"/>
        <v>0</v>
      </c>
      <c r="M150" s="54">
        <f t="shared" si="63"/>
        <v>0</v>
      </c>
      <c r="N150" s="57">
        <f t="shared" si="58"/>
        <v>0</v>
      </c>
      <c r="O150" s="57">
        <f t="shared" si="64"/>
        <v>0</v>
      </c>
      <c r="P150" s="57">
        <f t="shared" si="59"/>
        <v>0</v>
      </c>
      <c r="Q150" s="57" t="str">
        <f t="shared" si="42"/>
        <v>No</v>
      </c>
      <c r="R150" s="54">
        <f t="shared" si="65"/>
        <v>0</v>
      </c>
      <c r="S150" s="58">
        <f t="shared" si="60"/>
        <v>0</v>
      </c>
      <c r="AR150" s="61">
        <v>0.51200000000000001</v>
      </c>
      <c r="AT150">
        <f t="shared" si="66"/>
        <v>7</v>
      </c>
    </row>
    <row r="151" spans="1:46" x14ac:dyDescent="0.35">
      <c r="A151" s="94"/>
      <c r="B151" s="111"/>
      <c r="C151" s="44">
        <v>0.25</v>
      </c>
      <c r="D151" s="47">
        <v>16</v>
      </c>
      <c r="E151" s="47" t="s">
        <v>62</v>
      </c>
      <c r="F151" s="47">
        <v>-109.83</v>
      </c>
      <c r="G151" s="54">
        <v>3</v>
      </c>
      <c r="H151" s="54">
        <v>100</v>
      </c>
      <c r="I151" s="55">
        <f t="shared" si="56"/>
        <v>103</v>
      </c>
      <c r="J151" s="56">
        <v>1</v>
      </c>
      <c r="K151" s="57">
        <f t="shared" si="62"/>
        <v>0</v>
      </c>
      <c r="L151" s="57">
        <f t="shared" si="57"/>
        <v>0</v>
      </c>
      <c r="M151" s="54">
        <f t="shared" si="63"/>
        <v>0</v>
      </c>
      <c r="N151" s="57">
        <f t="shared" si="58"/>
        <v>0</v>
      </c>
      <c r="O151" s="57">
        <f t="shared" si="64"/>
        <v>0</v>
      </c>
      <c r="P151" s="57">
        <f t="shared" si="59"/>
        <v>0</v>
      </c>
      <c r="Q151" s="57" t="str">
        <f t="shared" si="42"/>
        <v>No</v>
      </c>
      <c r="R151" s="54">
        <f t="shared" si="65"/>
        <v>0</v>
      </c>
      <c r="S151" s="58">
        <f t="shared" si="60"/>
        <v>0</v>
      </c>
      <c r="AR151" s="61">
        <v>0.98640000000000005</v>
      </c>
      <c r="AT151">
        <f t="shared" si="66"/>
        <v>4</v>
      </c>
    </row>
    <row r="152" spans="1:46" x14ac:dyDescent="0.35">
      <c r="A152" s="94"/>
      <c r="B152" s="111"/>
      <c r="C152" s="44">
        <v>0.35</v>
      </c>
      <c r="D152" s="47">
        <v>16</v>
      </c>
      <c r="E152" s="47" t="s">
        <v>62</v>
      </c>
      <c r="F152" s="47">
        <v>-109.83</v>
      </c>
      <c r="G152" s="54">
        <v>3</v>
      </c>
      <c r="H152" s="54">
        <v>100</v>
      </c>
      <c r="I152" s="55">
        <f t="shared" si="56"/>
        <v>103</v>
      </c>
      <c r="J152" s="56">
        <v>1</v>
      </c>
      <c r="K152" s="57">
        <f t="shared" si="62"/>
        <v>0</v>
      </c>
      <c r="L152" s="57">
        <f t="shared" si="57"/>
        <v>0</v>
      </c>
      <c r="M152" s="54">
        <f t="shared" si="63"/>
        <v>0</v>
      </c>
      <c r="N152" s="57">
        <f t="shared" si="58"/>
        <v>0</v>
      </c>
      <c r="O152" s="57">
        <f t="shared" si="64"/>
        <v>0</v>
      </c>
      <c r="P152" s="57">
        <f t="shared" si="59"/>
        <v>0</v>
      </c>
      <c r="Q152" s="57" t="str">
        <f t="shared" ref="Q152:Q160" si="67">IF(P152=0,"No","Yes")</f>
        <v>No</v>
      </c>
      <c r="R152" s="54">
        <f t="shared" si="65"/>
        <v>0</v>
      </c>
      <c r="S152" s="58">
        <f t="shared" si="60"/>
        <v>0</v>
      </c>
      <c r="AR152" s="61">
        <v>1</v>
      </c>
      <c r="AT152">
        <f t="shared" si="66"/>
        <v>2</v>
      </c>
    </row>
    <row r="153" spans="1:46" x14ac:dyDescent="0.35">
      <c r="A153" s="94"/>
      <c r="B153" s="111"/>
      <c r="C153" s="44">
        <v>0.45</v>
      </c>
      <c r="D153" s="47">
        <v>16</v>
      </c>
      <c r="E153" s="47" t="s">
        <v>62</v>
      </c>
      <c r="F153" s="47">
        <v>-109.83</v>
      </c>
      <c r="G153" s="54">
        <v>3</v>
      </c>
      <c r="H153" s="54">
        <v>100</v>
      </c>
      <c r="I153" s="55">
        <f t="shared" si="56"/>
        <v>103</v>
      </c>
      <c r="J153" s="56">
        <v>1</v>
      </c>
      <c r="K153" s="57">
        <f t="shared" si="62"/>
        <v>0</v>
      </c>
      <c r="L153" s="57">
        <f t="shared" si="57"/>
        <v>0</v>
      </c>
      <c r="M153" s="54">
        <f t="shared" si="63"/>
        <v>0</v>
      </c>
      <c r="N153" s="57">
        <f t="shared" si="58"/>
        <v>0</v>
      </c>
      <c r="O153" s="57">
        <f t="shared" si="64"/>
        <v>0</v>
      </c>
      <c r="P153" s="57">
        <f t="shared" si="59"/>
        <v>0</v>
      </c>
      <c r="Q153" s="57" t="str">
        <f t="shared" si="67"/>
        <v>No</v>
      </c>
      <c r="R153" s="54">
        <f t="shared" si="65"/>
        <v>0</v>
      </c>
      <c r="S153" s="58">
        <f t="shared" si="60"/>
        <v>0</v>
      </c>
      <c r="AR153" s="61">
        <v>1</v>
      </c>
      <c r="AT153">
        <f t="shared" si="66"/>
        <v>2</v>
      </c>
    </row>
    <row r="154" spans="1:46" x14ac:dyDescent="0.35">
      <c r="A154" s="94"/>
      <c r="B154" s="112"/>
      <c r="C154" s="44">
        <v>0.55000000000000004</v>
      </c>
      <c r="D154" s="47">
        <v>16</v>
      </c>
      <c r="E154" s="47" t="s">
        <v>62</v>
      </c>
      <c r="F154" s="47">
        <v>-109.83</v>
      </c>
      <c r="G154" s="54">
        <v>3</v>
      </c>
      <c r="H154" s="54">
        <v>100</v>
      </c>
      <c r="I154" s="55">
        <f t="shared" si="56"/>
        <v>103</v>
      </c>
      <c r="J154" s="56">
        <v>1</v>
      </c>
      <c r="K154" s="57">
        <f t="shared" si="62"/>
        <v>0</v>
      </c>
      <c r="L154" s="57">
        <f t="shared" si="57"/>
        <v>0</v>
      </c>
      <c r="M154" s="54">
        <f t="shared" si="63"/>
        <v>0</v>
      </c>
      <c r="N154" s="57">
        <f t="shared" si="58"/>
        <v>0</v>
      </c>
      <c r="O154" s="57">
        <f t="shared" si="64"/>
        <v>0</v>
      </c>
      <c r="P154" s="57">
        <f t="shared" si="59"/>
        <v>0</v>
      </c>
      <c r="Q154" s="57" t="str">
        <f t="shared" si="67"/>
        <v>No</v>
      </c>
      <c r="R154" s="54">
        <f t="shared" si="65"/>
        <v>0</v>
      </c>
      <c r="S154" s="58">
        <f t="shared" si="60"/>
        <v>0</v>
      </c>
    </row>
    <row r="155" spans="1:46" x14ac:dyDescent="0.35">
      <c r="A155" s="94"/>
      <c r="B155" s="110" t="s">
        <v>51</v>
      </c>
      <c r="C155" s="44">
        <v>0</v>
      </c>
      <c r="D155" s="47">
        <v>16</v>
      </c>
      <c r="E155" s="47" t="s">
        <v>62</v>
      </c>
      <c r="F155" s="47">
        <v>-101.6</v>
      </c>
      <c r="G155" s="54">
        <v>8</v>
      </c>
      <c r="H155" s="55">
        <v>16</v>
      </c>
      <c r="I155" s="55">
        <f t="shared" si="56"/>
        <v>24</v>
      </c>
      <c r="J155" s="56">
        <v>0.23230000000000001</v>
      </c>
      <c r="K155" s="57">
        <f t="shared" si="62"/>
        <v>-76.77000000000001</v>
      </c>
      <c r="L155" s="57">
        <f t="shared" si="57"/>
        <v>76.77000000000001</v>
      </c>
      <c r="M155" s="54">
        <f t="shared" si="63"/>
        <v>0</v>
      </c>
      <c r="N155" s="57">
        <f t="shared" si="58"/>
        <v>0</v>
      </c>
      <c r="O155" s="57">
        <f t="shared" si="64"/>
        <v>8.230000000000004</v>
      </c>
      <c r="P155" s="57">
        <f t="shared" si="59"/>
        <v>8.230000000000004</v>
      </c>
      <c r="Q155" s="57" t="str">
        <f t="shared" si="67"/>
        <v>Yes</v>
      </c>
      <c r="R155" s="54">
        <f t="shared" si="65"/>
        <v>-79</v>
      </c>
      <c r="S155" s="58">
        <f t="shared" si="60"/>
        <v>79</v>
      </c>
      <c r="AR155" s="61" cm="1">
        <f t="array" ref="AR155:AR162">INDEX($J:$J,20+20*_xlfn.SEQUENCE(8,1,0,1))</f>
        <v>0</v>
      </c>
      <c r="AT155">
        <f>_xlfn.RANK.AVG(AR155,$AR$155:$AR$162,0)</f>
        <v>8</v>
      </c>
    </row>
    <row r="156" spans="1:46" x14ac:dyDescent="0.35">
      <c r="A156" s="94"/>
      <c r="B156" s="111"/>
      <c r="C156" s="44">
        <v>0.05</v>
      </c>
      <c r="D156" s="47">
        <v>16</v>
      </c>
      <c r="E156" s="47" t="s">
        <v>62</v>
      </c>
      <c r="F156" s="47">
        <v>-109.83</v>
      </c>
      <c r="G156" s="54">
        <v>3</v>
      </c>
      <c r="H156" s="54">
        <v>100</v>
      </c>
      <c r="I156" s="55">
        <f t="shared" si="56"/>
        <v>103</v>
      </c>
      <c r="J156" s="56">
        <v>1</v>
      </c>
      <c r="K156" s="57">
        <f t="shared" si="62"/>
        <v>0</v>
      </c>
      <c r="L156" s="57">
        <f t="shared" si="57"/>
        <v>0</v>
      </c>
      <c r="M156" s="54">
        <f t="shared" si="63"/>
        <v>0</v>
      </c>
      <c r="N156" s="57">
        <f t="shared" si="58"/>
        <v>0</v>
      </c>
      <c r="O156" s="57">
        <f t="shared" si="64"/>
        <v>0</v>
      </c>
      <c r="P156" s="57">
        <f t="shared" si="59"/>
        <v>0</v>
      </c>
      <c r="Q156" s="57" t="str">
        <f t="shared" si="67"/>
        <v>No</v>
      </c>
      <c r="R156" s="54">
        <f t="shared" si="65"/>
        <v>0</v>
      </c>
      <c r="S156" s="58">
        <f t="shared" si="60"/>
        <v>0</v>
      </c>
      <c r="AR156" s="61">
        <v>1</v>
      </c>
      <c r="AT156">
        <f t="shared" ref="AT156:AT162" si="68">_xlfn.RANK.AVG(AR156,$AR$155:$AR$162,0)</f>
        <v>2</v>
      </c>
    </row>
    <row r="157" spans="1:46" x14ac:dyDescent="0.35">
      <c r="A157" s="94"/>
      <c r="B157" s="111"/>
      <c r="C157" s="44">
        <v>0.15</v>
      </c>
      <c r="D157" s="47">
        <v>16</v>
      </c>
      <c r="E157" s="47" t="s">
        <v>62</v>
      </c>
      <c r="F157" s="47">
        <v>-109.83</v>
      </c>
      <c r="G157" s="54">
        <v>3</v>
      </c>
      <c r="H157" s="54">
        <v>100</v>
      </c>
      <c r="I157" s="55">
        <f t="shared" si="56"/>
        <v>103</v>
      </c>
      <c r="J157" s="56">
        <v>1</v>
      </c>
      <c r="K157" s="57">
        <f t="shared" si="62"/>
        <v>0</v>
      </c>
      <c r="L157" s="57">
        <f t="shared" si="57"/>
        <v>0</v>
      </c>
      <c r="M157" s="54">
        <f t="shared" si="63"/>
        <v>0</v>
      </c>
      <c r="N157" s="57">
        <f t="shared" si="58"/>
        <v>0</v>
      </c>
      <c r="O157" s="57">
        <f t="shared" si="64"/>
        <v>0</v>
      </c>
      <c r="P157" s="57">
        <f t="shared" si="59"/>
        <v>0</v>
      </c>
      <c r="Q157" s="57" t="str">
        <f t="shared" si="67"/>
        <v>No</v>
      </c>
      <c r="R157" s="54">
        <f t="shared" si="65"/>
        <v>0</v>
      </c>
      <c r="S157" s="58">
        <f t="shared" si="60"/>
        <v>0</v>
      </c>
      <c r="AR157" s="61">
        <v>0.6008</v>
      </c>
      <c r="AT157">
        <f t="shared" si="68"/>
        <v>6</v>
      </c>
    </row>
    <row r="158" spans="1:46" x14ac:dyDescent="0.35">
      <c r="A158" s="94"/>
      <c r="B158" s="111"/>
      <c r="C158" s="44">
        <v>0.25</v>
      </c>
      <c r="D158" s="47">
        <v>16</v>
      </c>
      <c r="E158" s="47" t="s">
        <v>62</v>
      </c>
      <c r="F158" s="47">
        <v>-109.83</v>
      </c>
      <c r="G158" s="54">
        <v>3</v>
      </c>
      <c r="H158" s="54">
        <v>100</v>
      </c>
      <c r="I158" s="55">
        <f t="shared" si="56"/>
        <v>103</v>
      </c>
      <c r="J158" s="56">
        <v>1</v>
      </c>
      <c r="K158" s="57">
        <f t="shared" si="62"/>
        <v>0</v>
      </c>
      <c r="L158" s="57">
        <f t="shared" si="57"/>
        <v>0</v>
      </c>
      <c r="M158" s="54">
        <f t="shared" si="63"/>
        <v>0</v>
      </c>
      <c r="N158" s="57">
        <f t="shared" si="58"/>
        <v>0</v>
      </c>
      <c r="O158" s="57">
        <f t="shared" si="64"/>
        <v>0</v>
      </c>
      <c r="P158" s="57">
        <f t="shared" si="59"/>
        <v>0</v>
      </c>
      <c r="Q158" s="57" t="str">
        <f t="shared" si="67"/>
        <v>No</v>
      </c>
      <c r="R158" s="54">
        <f t="shared" si="65"/>
        <v>0</v>
      </c>
      <c r="S158" s="58">
        <f t="shared" si="60"/>
        <v>0</v>
      </c>
      <c r="AR158" s="61">
        <v>0.7681</v>
      </c>
      <c r="AT158">
        <f t="shared" si="68"/>
        <v>5</v>
      </c>
    </row>
    <row r="159" spans="1:46" x14ac:dyDescent="0.35">
      <c r="A159" s="94"/>
      <c r="B159" s="111"/>
      <c r="C159" s="45">
        <v>0.45</v>
      </c>
      <c r="D159" s="47">
        <v>16</v>
      </c>
      <c r="E159" s="47" t="s">
        <v>62</v>
      </c>
      <c r="F159" s="47">
        <v>-109.83</v>
      </c>
      <c r="G159" s="54">
        <v>3</v>
      </c>
      <c r="H159" s="54">
        <v>100</v>
      </c>
      <c r="I159" s="55">
        <f t="shared" si="56"/>
        <v>103</v>
      </c>
      <c r="J159" s="56">
        <v>1</v>
      </c>
      <c r="K159" s="57">
        <f t="shared" si="62"/>
        <v>0</v>
      </c>
      <c r="L159" s="57">
        <f t="shared" si="57"/>
        <v>0</v>
      </c>
      <c r="M159" s="54">
        <f t="shared" si="63"/>
        <v>0</v>
      </c>
      <c r="N159" s="57">
        <f t="shared" si="58"/>
        <v>0</v>
      </c>
      <c r="O159" s="57">
        <f t="shared" si="64"/>
        <v>0</v>
      </c>
      <c r="P159" s="57">
        <f t="shared" si="59"/>
        <v>0</v>
      </c>
      <c r="Q159" s="57" t="str">
        <f t="shared" si="67"/>
        <v>No</v>
      </c>
      <c r="R159" s="54">
        <f t="shared" si="65"/>
        <v>0</v>
      </c>
      <c r="S159" s="58">
        <f t="shared" si="60"/>
        <v>0</v>
      </c>
      <c r="AR159" s="61">
        <v>0.51200000000000001</v>
      </c>
      <c r="AT159">
        <f t="shared" si="68"/>
        <v>7</v>
      </c>
    </row>
    <row r="160" spans="1:46" x14ac:dyDescent="0.35">
      <c r="A160" s="94"/>
      <c r="B160" s="111"/>
      <c r="C160" s="45">
        <v>0.55000000000000004</v>
      </c>
      <c r="D160" s="47">
        <v>16</v>
      </c>
      <c r="E160" s="47" t="s">
        <v>62</v>
      </c>
      <c r="F160" s="47">
        <v>-109.83</v>
      </c>
      <c r="G160" s="54">
        <v>3</v>
      </c>
      <c r="H160" s="54">
        <v>100</v>
      </c>
      <c r="I160" s="55">
        <f t="shared" si="56"/>
        <v>103</v>
      </c>
      <c r="J160" s="56">
        <v>1</v>
      </c>
      <c r="K160" s="57">
        <f t="shared" si="62"/>
        <v>0</v>
      </c>
      <c r="L160" s="57">
        <f t="shared" si="57"/>
        <v>0</v>
      </c>
      <c r="M160" s="54">
        <f t="shared" si="63"/>
        <v>0</v>
      </c>
      <c r="N160" s="57">
        <f t="shared" si="58"/>
        <v>0</v>
      </c>
      <c r="O160" s="57">
        <f t="shared" si="64"/>
        <v>0</v>
      </c>
      <c r="P160" s="57">
        <f t="shared" si="59"/>
        <v>0</v>
      </c>
      <c r="Q160" s="57" t="str">
        <f t="shared" si="67"/>
        <v>No</v>
      </c>
      <c r="R160" s="54">
        <f t="shared" si="65"/>
        <v>0</v>
      </c>
      <c r="S160" s="58">
        <f t="shared" si="60"/>
        <v>0</v>
      </c>
      <c r="AR160" s="61">
        <v>0.98640000000000005</v>
      </c>
      <c r="AT160">
        <f t="shared" si="68"/>
        <v>4</v>
      </c>
    </row>
    <row r="161" spans="1:46" x14ac:dyDescent="0.35">
      <c r="A161" s="94"/>
      <c r="B161" s="112"/>
      <c r="C161" s="45">
        <v>0.65</v>
      </c>
      <c r="D161" s="47">
        <v>16</v>
      </c>
      <c r="E161" s="47" t="s">
        <v>62</v>
      </c>
      <c r="F161" s="47">
        <v>-109.83</v>
      </c>
      <c r="G161" s="54">
        <v>3</v>
      </c>
      <c r="H161" s="54">
        <v>100</v>
      </c>
      <c r="I161" s="55">
        <f t="shared" si="56"/>
        <v>103</v>
      </c>
      <c r="J161" s="56">
        <v>1</v>
      </c>
      <c r="K161" s="57">
        <f t="shared" si="62"/>
        <v>0</v>
      </c>
      <c r="L161" s="57">
        <f t="shared" si="57"/>
        <v>0</v>
      </c>
      <c r="M161" s="54">
        <f t="shared" si="63"/>
        <v>0</v>
      </c>
      <c r="N161" s="57">
        <f t="shared" si="58"/>
        <v>0</v>
      </c>
      <c r="O161" s="57">
        <f t="shared" si="64"/>
        <v>0</v>
      </c>
      <c r="P161" s="57">
        <f t="shared" si="59"/>
        <v>0</v>
      </c>
      <c r="Q161" s="57" t="str">
        <f>IF(P161=0,"No","Yes")</f>
        <v>No</v>
      </c>
      <c r="R161" s="54">
        <f t="shared" si="65"/>
        <v>0</v>
      </c>
      <c r="S161" s="58">
        <f t="shared" si="60"/>
        <v>0</v>
      </c>
      <c r="AR161" s="61">
        <v>1</v>
      </c>
      <c r="AT161">
        <f t="shared" si="68"/>
        <v>2</v>
      </c>
    </row>
    <row r="162" spans="1:46" x14ac:dyDescent="0.35">
      <c r="AR162" s="61">
        <v>1</v>
      </c>
      <c r="AT162">
        <f t="shared" si="68"/>
        <v>2</v>
      </c>
    </row>
    <row r="164" spans="1:46" x14ac:dyDescent="0.35">
      <c r="AR164" s="61" cm="1">
        <f t="array" ref="AR164:AR171">INDEX($J:$J,21+20*_xlfn.SEQUENCE(8,1,0,1))</f>
        <v>0</v>
      </c>
      <c r="AT164">
        <f>_xlfn.RANK.AVG(AR164,$AR$164:$AR$171,0)</f>
        <v>8</v>
      </c>
    </row>
    <row r="165" spans="1:46" x14ac:dyDescent="0.35">
      <c r="AR165" s="61">
        <v>1</v>
      </c>
      <c r="AT165">
        <f t="shared" ref="AT165:AT171" si="69">_xlfn.RANK.AVG(AR165,$AR$164:$AR$171,0)</f>
        <v>2</v>
      </c>
    </row>
    <row r="166" spans="1:46" x14ac:dyDescent="0.35">
      <c r="AR166" s="61">
        <v>0.6008</v>
      </c>
      <c r="AT166">
        <f t="shared" si="69"/>
        <v>6</v>
      </c>
    </row>
    <row r="167" spans="1:46" x14ac:dyDescent="0.35">
      <c r="AR167" s="61">
        <v>0.7681</v>
      </c>
      <c r="AT167">
        <f t="shared" si="69"/>
        <v>5</v>
      </c>
    </row>
    <row r="168" spans="1:46" x14ac:dyDescent="0.35">
      <c r="AR168" s="61">
        <v>0.51200000000000001</v>
      </c>
      <c r="AT168">
        <f t="shared" si="69"/>
        <v>7</v>
      </c>
    </row>
    <row r="169" spans="1:46" x14ac:dyDescent="0.35">
      <c r="AR169" s="61">
        <v>0.98640000000000005</v>
      </c>
      <c r="AT169">
        <f t="shared" si="69"/>
        <v>4</v>
      </c>
    </row>
    <row r="170" spans="1:46" x14ac:dyDescent="0.35">
      <c r="AR170" s="61">
        <v>1</v>
      </c>
      <c r="AT170">
        <f t="shared" si="69"/>
        <v>2</v>
      </c>
    </row>
    <row r="171" spans="1:46" x14ac:dyDescent="0.35">
      <c r="AR171" s="61">
        <v>1</v>
      </c>
      <c r="AT171">
        <f t="shared" si="69"/>
        <v>2</v>
      </c>
    </row>
  </sheetData>
  <mergeCells count="45">
    <mergeCell ref="Y2:Y7"/>
    <mergeCell ref="Y8:Y13"/>
    <mergeCell ref="Y14:Y20"/>
    <mergeCell ref="A62:A81"/>
    <mergeCell ref="B62:C62"/>
    <mergeCell ref="B63:B68"/>
    <mergeCell ref="B69:B74"/>
    <mergeCell ref="B75:B81"/>
    <mergeCell ref="B42:C42"/>
    <mergeCell ref="A42:A61"/>
    <mergeCell ref="B43:B48"/>
    <mergeCell ref="B49:B54"/>
    <mergeCell ref="B55:B61"/>
    <mergeCell ref="A22:A41"/>
    <mergeCell ref="B22:C22"/>
    <mergeCell ref="B23:B28"/>
    <mergeCell ref="B29:B34"/>
    <mergeCell ref="B35:B41"/>
    <mergeCell ref="A2:A21"/>
    <mergeCell ref="B2:C2"/>
    <mergeCell ref="B3:B8"/>
    <mergeCell ref="B9:B14"/>
    <mergeCell ref="B15:B21"/>
    <mergeCell ref="B115:B121"/>
    <mergeCell ref="A82:A101"/>
    <mergeCell ref="B82:C82"/>
    <mergeCell ref="B83:B88"/>
    <mergeCell ref="B89:B94"/>
    <mergeCell ref="B95:B101"/>
    <mergeCell ref="Y27:AF28"/>
    <mergeCell ref="Y21:AF21"/>
    <mergeCell ref="A142:A161"/>
    <mergeCell ref="B142:C142"/>
    <mergeCell ref="B143:B148"/>
    <mergeCell ref="B149:B154"/>
    <mergeCell ref="B155:B161"/>
    <mergeCell ref="A122:A141"/>
    <mergeCell ref="B122:C122"/>
    <mergeCell ref="B123:B128"/>
    <mergeCell ref="B129:B134"/>
    <mergeCell ref="B135:B141"/>
    <mergeCell ref="A102:A121"/>
    <mergeCell ref="B102:C102"/>
    <mergeCell ref="B103:B108"/>
    <mergeCell ref="B109:B114"/>
  </mergeCells>
  <pageMargins left="0.7" right="0.7" top="0.75" bottom="0.75" header="0.3" footer="0.3"/>
  <pageSetup scale="1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36C1D-64BC-44E4-97D8-0737DAD082E4}">
  <sheetPr>
    <pageSetUpPr fitToPage="1"/>
  </sheetPr>
  <dimension ref="B1:Q66"/>
  <sheetViews>
    <sheetView tabSelected="1" topLeftCell="L1" zoomScale="145" zoomScaleNormal="145" workbookViewId="0">
      <selection activeCell="M2" sqref="M2"/>
    </sheetView>
    <sheetView tabSelected="1" topLeftCell="J1" zoomScale="145" zoomScaleNormal="145" workbookViewId="1">
      <selection activeCell="P14" sqref="P14"/>
    </sheetView>
  </sheetViews>
  <sheetFormatPr defaultRowHeight="14.5" x14ac:dyDescent="0.35"/>
  <cols>
    <col min="3" max="3" width="21.6328125" customWidth="1"/>
    <col min="4" max="4" width="8.36328125" bestFit="1" customWidth="1"/>
    <col min="5" max="5" width="10.81640625" bestFit="1" customWidth="1"/>
    <col min="6" max="6" width="18.54296875" bestFit="1" customWidth="1"/>
    <col min="7" max="7" width="23.7265625" bestFit="1" customWidth="1"/>
    <col min="8" max="8" width="18.54296875" customWidth="1"/>
    <col min="9" max="9" width="15.08984375" customWidth="1"/>
    <col min="10" max="11" width="11.36328125" bestFit="1" customWidth="1"/>
    <col min="12" max="12" width="3.6328125" customWidth="1"/>
    <col min="13" max="13" width="6.1796875" bestFit="1" customWidth="1"/>
    <col min="14" max="14" width="14" bestFit="1" customWidth="1"/>
    <col min="15" max="15" width="22.1796875" bestFit="1" customWidth="1"/>
    <col min="16" max="16" width="16.1796875" bestFit="1" customWidth="1"/>
    <col min="17" max="17" width="45.08984375" customWidth="1"/>
  </cols>
  <sheetData>
    <row r="1" spans="2:17" ht="15" thickBot="1" x14ac:dyDescent="0.4">
      <c r="M1" s="90" t="s">
        <v>178</v>
      </c>
      <c r="N1" s="90"/>
      <c r="O1" s="90"/>
      <c r="P1" s="90"/>
      <c r="Q1" s="90"/>
    </row>
    <row r="2" spans="2:17" ht="43.5" x14ac:dyDescent="0.35">
      <c r="B2" s="67" t="s">
        <v>5</v>
      </c>
      <c r="C2" s="68" t="s">
        <v>49</v>
      </c>
      <c r="D2" s="69" t="s">
        <v>117</v>
      </c>
      <c r="E2" s="69" t="s">
        <v>118</v>
      </c>
      <c r="F2" s="69" t="s">
        <v>119</v>
      </c>
      <c r="G2" s="69" t="s">
        <v>122</v>
      </c>
      <c r="H2" s="70" t="s">
        <v>120</v>
      </c>
      <c r="J2" s="69" t="s">
        <v>90</v>
      </c>
      <c r="K2" s="70" t="s">
        <v>91</v>
      </c>
      <c r="M2" s="80" t="s">
        <v>5</v>
      </c>
      <c r="N2" s="81" t="s">
        <v>160</v>
      </c>
      <c r="O2" s="81" t="s">
        <v>161</v>
      </c>
      <c r="P2" s="81" t="s">
        <v>162</v>
      </c>
      <c r="Q2" s="82" t="s">
        <v>163</v>
      </c>
    </row>
    <row r="3" spans="2:17" x14ac:dyDescent="0.35">
      <c r="B3" s="94" t="s">
        <v>87</v>
      </c>
      <c r="C3" s="96" t="s">
        <v>88</v>
      </c>
      <c r="D3" s="96"/>
      <c r="E3" s="46">
        <v>0</v>
      </c>
      <c r="F3" s="46" t="s">
        <v>38</v>
      </c>
      <c r="G3" s="46">
        <v>0</v>
      </c>
      <c r="H3" s="53" t="s">
        <v>38</v>
      </c>
      <c r="J3" s="96">
        <v>12.32</v>
      </c>
      <c r="K3" s="99">
        <v>0</v>
      </c>
      <c r="M3" s="83" t="s">
        <v>87</v>
      </c>
      <c r="N3" s="76">
        <v>0</v>
      </c>
      <c r="O3" s="76" t="s">
        <v>143</v>
      </c>
      <c r="P3" s="76">
        <v>0</v>
      </c>
      <c r="Q3" s="77">
        <v>3.1</v>
      </c>
    </row>
    <row r="4" spans="2:17" ht="14.5" customHeight="1" x14ac:dyDescent="0.35">
      <c r="B4" s="94"/>
      <c r="C4" s="102" t="s">
        <v>3</v>
      </c>
      <c r="D4" s="102" t="s">
        <v>115</v>
      </c>
      <c r="E4" s="103">
        <v>0</v>
      </c>
      <c r="F4" s="103" t="s">
        <v>62</v>
      </c>
      <c r="G4" s="39" t="s">
        <v>38</v>
      </c>
      <c r="H4" s="72" t="s">
        <v>38</v>
      </c>
      <c r="J4" s="96"/>
      <c r="K4" s="99"/>
      <c r="M4" s="83" t="s">
        <v>173</v>
      </c>
      <c r="N4" s="76">
        <v>3</v>
      </c>
      <c r="O4" s="76" t="s">
        <v>164</v>
      </c>
      <c r="P4" s="76">
        <v>0</v>
      </c>
      <c r="Q4" s="77">
        <v>3</v>
      </c>
    </row>
    <row r="5" spans="2:17" x14ac:dyDescent="0.35">
      <c r="B5" s="94"/>
      <c r="C5" s="103"/>
      <c r="D5" s="103"/>
      <c r="E5" s="103"/>
      <c r="F5" s="103"/>
      <c r="G5" s="39" t="s">
        <v>38</v>
      </c>
      <c r="H5" s="72" t="s">
        <v>38</v>
      </c>
      <c r="J5" s="96"/>
      <c r="K5" s="99"/>
      <c r="M5" s="83" t="s">
        <v>9</v>
      </c>
      <c r="N5" s="76">
        <v>2</v>
      </c>
      <c r="O5" s="76" t="s">
        <v>165</v>
      </c>
      <c r="P5" s="76" t="s">
        <v>123</v>
      </c>
      <c r="Q5" s="77" t="s">
        <v>172</v>
      </c>
    </row>
    <row r="6" spans="2:17" x14ac:dyDescent="0.35">
      <c r="B6" s="94"/>
      <c r="C6" s="103"/>
      <c r="D6" s="103"/>
      <c r="E6" s="103"/>
      <c r="F6" s="103"/>
      <c r="G6" s="39" t="s">
        <v>38</v>
      </c>
      <c r="H6" s="72" t="s">
        <v>38</v>
      </c>
      <c r="J6" s="96"/>
      <c r="K6" s="99"/>
      <c r="M6" s="83" t="s">
        <v>10</v>
      </c>
      <c r="N6" s="76">
        <v>6</v>
      </c>
      <c r="O6" s="76" t="s">
        <v>166</v>
      </c>
      <c r="P6" s="76" t="s">
        <v>125</v>
      </c>
      <c r="Q6" s="77" t="s">
        <v>171</v>
      </c>
    </row>
    <row r="7" spans="2:17" x14ac:dyDescent="0.35">
      <c r="B7" s="94"/>
      <c r="C7" s="103"/>
      <c r="D7" s="103"/>
      <c r="E7" s="103"/>
      <c r="F7" s="103"/>
      <c r="G7" s="39" t="s">
        <v>38</v>
      </c>
      <c r="H7" s="72" t="s">
        <v>38</v>
      </c>
      <c r="J7" s="96"/>
      <c r="K7" s="99"/>
      <c r="M7" s="83" t="s">
        <v>11</v>
      </c>
      <c r="N7" s="76">
        <v>2</v>
      </c>
      <c r="O7" s="76" t="s">
        <v>167</v>
      </c>
      <c r="P7" s="76" t="s">
        <v>128</v>
      </c>
      <c r="Q7" s="77" t="s">
        <v>170</v>
      </c>
    </row>
    <row r="8" spans="2:17" ht="15" thickBot="1" x14ac:dyDescent="0.4">
      <c r="B8" s="94"/>
      <c r="C8" s="102" t="s">
        <v>96</v>
      </c>
      <c r="D8" s="39" t="s">
        <v>99</v>
      </c>
      <c r="E8" s="39" t="s">
        <v>38</v>
      </c>
      <c r="F8" s="39" t="s">
        <v>38</v>
      </c>
      <c r="G8" s="39">
        <v>4</v>
      </c>
      <c r="H8" s="72" t="s">
        <v>61</v>
      </c>
      <c r="J8" s="96"/>
      <c r="K8" s="99"/>
      <c r="M8" s="84" t="s">
        <v>12</v>
      </c>
      <c r="N8" s="78">
        <v>3</v>
      </c>
      <c r="O8" s="78" t="s">
        <v>168</v>
      </c>
      <c r="P8" s="78" t="s">
        <v>131</v>
      </c>
      <c r="Q8" s="79" t="s">
        <v>169</v>
      </c>
    </row>
    <row r="9" spans="2:17" x14ac:dyDescent="0.35">
      <c r="B9" s="94"/>
      <c r="C9" s="103"/>
      <c r="D9" s="39">
        <v>3</v>
      </c>
      <c r="E9" s="39" t="s">
        <v>38</v>
      </c>
      <c r="F9" s="39" t="s">
        <v>38</v>
      </c>
      <c r="G9" s="39">
        <v>2</v>
      </c>
      <c r="H9" s="72" t="s">
        <v>61</v>
      </c>
      <c r="J9" s="96"/>
      <c r="K9" s="99"/>
      <c r="M9" s="91" t="s">
        <v>179</v>
      </c>
      <c r="N9" s="92"/>
      <c r="O9" s="92"/>
      <c r="P9" s="92"/>
      <c r="Q9" s="92"/>
    </row>
    <row r="10" spans="2:17" x14ac:dyDescent="0.35">
      <c r="B10" s="94"/>
      <c r="C10" s="103"/>
      <c r="D10" s="39">
        <v>3.1</v>
      </c>
      <c r="E10" s="39" t="s">
        <v>38</v>
      </c>
      <c r="F10" s="39" t="s">
        <v>38</v>
      </c>
      <c r="G10" s="39">
        <v>0</v>
      </c>
      <c r="H10" s="72" t="s">
        <v>62</v>
      </c>
      <c r="J10" s="96"/>
      <c r="K10" s="99"/>
      <c r="M10" s="93"/>
      <c r="N10" s="93"/>
      <c r="O10" s="93"/>
      <c r="P10" s="93"/>
      <c r="Q10" s="93"/>
    </row>
    <row r="11" spans="2:17" x14ac:dyDescent="0.35">
      <c r="B11" s="94" t="s">
        <v>92</v>
      </c>
      <c r="C11" s="96" t="s">
        <v>88</v>
      </c>
      <c r="D11" s="96"/>
      <c r="E11" s="46">
        <v>3</v>
      </c>
      <c r="F11" s="46" t="s">
        <v>38</v>
      </c>
      <c r="G11" s="46">
        <v>0</v>
      </c>
      <c r="H11" s="53" t="s">
        <v>38</v>
      </c>
      <c r="J11" s="96">
        <v>13.32</v>
      </c>
      <c r="K11" s="99">
        <v>3.3</v>
      </c>
      <c r="M11" s="93"/>
      <c r="N11" s="93"/>
      <c r="O11" s="93"/>
      <c r="P11" s="93"/>
      <c r="Q11" s="93"/>
    </row>
    <row r="12" spans="2:17" ht="14.5" customHeight="1" x14ac:dyDescent="0.35">
      <c r="B12" s="94"/>
      <c r="C12" s="102" t="s">
        <v>3</v>
      </c>
      <c r="D12" s="39">
        <v>0.1</v>
      </c>
      <c r="E12" s="39">
        <v>4</v>
      </c>
      <c r="F12" s="39" t="s">
        <v>61</v>
      </c>
      <c r="G12" s="39" t="s">
        <v>38</v>
      </c>
      <c r="H12" s="72" t="s">
        <v>38</v>
      </c>
      <c r="J12" s="96"/>
      <c r="K12" s="99"/>
      <c r="M12" s="93"/>
      <c r="N12" s="93"/>
      <c r="O12" s="93"/>
      <c r="P12" s="93"/>
      <c r="Q12" s="93"/>
    </row>
    <row r="13" spans="2:17" ht="53.5" customHeight="1" x14ac:dyDescent="0.35">
      <c r="B13" s="94"/>
      <c r="C13" s="103"/>
      <c r="D13" s="39" t="s">
        <v>94</v>
      </c>
      <c r="E13" s="39">
        <v>3</v>
      </c>
      <c r="F13" s="39" t="s">
        <v>62</v>
      </c>
      <c r="G13" s="39" t="s">
        <v>38</v>
      </c>
      <c r="H13" s="72" t="s">
        <v>38</v>
      </c>
      <c r="J13" s="96"/>
      <c r="K13" s="99"/>
      <c r="M13" s="93"/>
      <c r="N13" s="93"/>
      <c r="O13" s="93"/>
      <c r="P13" s="93"/>
      <c r="Q13" s="93"/>
    </row>
    <row r="14" spans="2:17" x14ac:dyDescent="0.35">
      <c r="B14" s="94"/>
      <c r="C14" s="103"/>
      <c r="D14" s="39" t="s">
        <v>95</v>
      </c>
      <c r="E14" s="39">
        <v>2</v>
      </c>
      <c r="F14" s="39" t="s">
        <v>61</v>
      </c>
      <c r="G14" s="39" t="s">
        <v>38</v>
      </c>
      <c r="H14" s="72" t="s">
        <v>38</v>
      </c>
      <c r="J14" s="96"/>
      <c r="K14" s="99"/>
    </row>
    <row r="15" spans="2:17" x14ac:dyDescent="0.35">
      <c r="B15" s="94"/>
      <c r="C15" s="103"/>
      <c r="D15" s="39">
        <v>1.9</v>
      </c>
      <c r="E15" s="39">
        <v>1</v>
      </c>
      <c r="F15" s="39" t="s">
        <v>61</v>
      </c>
      <c r="G15" s="39" t="s">
        <v>38</v>
      </c>
      <c r="H15" s="72" t="s">
        <v>38</v>
      </c>
      <c r="J15" s="96"/>
      <c r="K15" s="99"/>
    </row>
    <row r="16" spans="2:17" x14ac:dyDescent="0.35">
      <c r="B16" s="94"/>
      <c r="C16" s="102" t="s">
        <v>96</v>
      </c>
      <c r="D16" s="39" t="s">
        <v>97</v>
      </c>
      <c r="E16" s="39" t="s">
        <v>38</v>
      </c>
      <c r="F16" s="39" t="s">
        <v>38</v>
      </c>
      <c r="G16" s="39">
        <v>4</v>
      </c>
      <c r="H16" s="72" t="s">
        <v>61</v>
      </c>
      <c r="J16" s="96"/>
      <c r="K16" s="99"/>
    </row>
    <row r="17" spans="2:11" x14ac:dyDescent="0.35">
      <c r="B17" s="94"/>
      <c r="C17" s="103"/>
      <c r="D17" s="39" t="s">
        <v>98</v>
      </c>
      <c r="E17" s="39" t="s">
        <v>38</v>
      </c>
      <c r="F17" s="39" t="s">
        <v>38</v>
      </c>
      <c r="G17" s="39">
        <v>2</v>
      </c>
      <c r="H17" s="72" t="s">
        <v>61</v>
      </c>
      <c r="J17" s="96"/>
      <c r="K17" s="99"/>
    </row>
    <row r="18" spans="2:11" x14ac:dyDescent="0.35">
      <c r="B18" s="94"/>
      <c r="C18" s="103"/>
      <c r="D18" s="39">
        <v>3</v>
      </c>
      <c r="E18" s="39" t="s">
        <v>38</v>
      </c>
      <c r="F18" s="39" t="s">
        <v>38</v>
      </c>
      <c r="G18" s="39">
        <v>0</v>
      </c>
      <c r="H18" s="72" t="s">
        <v>62</v>
      </c>
      <c r="J18" s="96"/>
      <c r="K18" s="99"/>
    </row>
    <row r="19" spans="2:11" x14ac:dyDescent="0.35">
      <c r="B19" s="94" t="s">
        <v>89</v>
      </c>
      <c r="C19" s="96" t="s">
        <v>88</v>
      </c>
      <c r="D19" s="96"/>
      <c r="E19" s="46">
        <v>3</v>
      </c>
      <c r="F19" s="46" t="s">
        <v>38</v>
      </c>
      <c r="G19" s="46">
        <v>0</v>
      </c>
      <c r="H19" s="53" t="s">
        <v>38</v>
      </c>
      <c r="J19" s="96">
        <v>13.32</v>
      </c>
      <c r="K19" s="99">
        <v>3.3</v>
      </c>
    </row>
    <row r="20" spans="2:11" ht="14.5" customHeight="1" x14ac:dyDescent="0.35">
      <c r="B20" s="94"/>
      <c r="C20" s="102" t="s">
        <v>3</v>
      </c>
      <c r="D20" s="39">
        <v>0.1</v>
      </c>
      <c r="E20" s="39">
        <v>4</v>
      </c>
      <c r="F20" s="39" t="s">
        <v>61</v>
      </c>
      <c r="G20" s="39" t="s">
        <v>38</v>
      </c>
      <c r="H20" s="72" t="s">
        <v>38</v>
      </c>
      <c r="J20" s="96"/>
      <c r="K20" s="99"/>
    </row>
    <row r="21" spans="2:11" x14ac:dyDescent="0.35">
      <c r="B21" s="94"/>
      <c r="C21" s="103"/>
      <c r="D21" s="39" t="s">
        <v>94</v>
      </c>
      <c r="E21" s="39">
        <v>3</v>
      </c>
      <c r="F21" s="39" t="s">
        <v>62</v>
      </c>
      <c r="G21" s="39" t="s">
        <v>38</v>
      </c>
      <c r="H21" s="72" t="s">
        <v>38</v>
      </c>
      <c r="J21" s="96"/>
      <c r="K21" s="99"/>
    </row>
    <row r="22" spans="2:11" x14ac:dyDescent="0.35">
      <c r="B22" s="94"/>
      <c r="C22" s="103"/>
      <c r="D22" s="39" t="s">
        <v>95</v>
      </c>
      <c r="E22" s="39">
        <v>2</v>
      </c>
      <c r="F22" s="39" t="s">
        <v>61</v>
      </c>
      <c r="G22" s="39" t="s">
        <v>38</v>
      </c>
      <c r="H22" s="72" t="s">
        <v>38</v>
      </c>
      <c r="J22" s="96"/>
      <c r="K22" s="99"/>
    </row>
    <row r="23" spans="2:11" x14ac:dyDescent="0.35">
      <c r="B23" s="94"/>
      <c r="C23" s="103"/>
      <c r="D23" s="39">
        <v>1.9</v>
      </c>
      <c r="E23" s="39">
        <v>1</v>
      </c>
      <c r="F23" s="39" t="s">
        <v>61</v>
      </c>
      <c r="G23" s="39" t="s">
        <v>38</v>
      </c>
      <c r="H23" s="72" t="s">
        <v>38</v>
      </c>
      <c r="J23" s="96"/>
      <c r="K23" s="99"/>
    </row>
    <row r="24" spans="2:11" x14ac:dyDescent="0.35">
      <c r="B24" s="94"/>
      <c r="C24" s="102" t="s">
        <v>96</v>
      </c>
      <c r="D24" s="39" t="s">
        <v>97</v>
      </c>
      <c r="E24" s="39" t="s">
        <v>38</v>
      </c>
      <c r="F24" s="39" t="s">
        <v>38</v>
      </c>
      <c r="G24" s="39">
        <v>4</v>
      </c>
      <c r="H24" s="72" t="s">
        <v>61</v>
      </c>
      <c r="J24" s="96"/>
      <c r="K24" s="99"/>
    </row>
    <row r="25" spans="2:11" x14ac:dyDescent="0.35">
      <c r="B25" s="94"/>
      <c r="C25" s="103"/>
      <c r="D25" s="39" t="s">
        <v>98</v>
      </c>
      <c r="E25" s="39" t="s">
        <v>38</v>
      </c>
      <c r="F25" s="39" t="s">
        <v>38</v>
      </c>
      <c r="G25" s="39">
        <v>2</v>
      </c>
      <c r="H25" s="72" t="s">
        <v>61</v>
      </c>
      <c r="J25" s="96"/>
      <c r="K25" s="99"/>
    </row>
    <row r="26" spans="2:11" x14ac:dyDescent="0.35">
      <c r="B26" s="94"/>
      <c r="C26" s="103"/>
      <c r="D26" s="39">
        <v>3</v>
      </c>
      <c r="E26" s="39" t="s">
        <v>38</v>
      </c>
      <c r="F26" s="39" t="s">
        <v>38</v>
      </c>
      <c r="G26" s="39">
        <v>0</v>
      </c>
      <c r="H26" s="72" t="s">
        <v>62</v>
      </c>
      <c r="J26" s="96"/>
      <c r="K26" s="99"/>
    </row>
    <row r="27" spans="2:11" x14ac:dyDescent="0.35">
      <c r="B27" s="94" t="s">
        <v>93</v>
      </c>
      <c r="C27" s="96" t="s">
        <v>88</v>
      </c>
      <c r="D27" s="96"/>
      <c r="E27" s="46">
        <v>3</v>
      </c>
      <c r="F27" s="46" t="s">
        <v>38</v>
      </c>
      <c r="G27" s="46">
        <v>0</v>
      </c>
      <c r="H27" s="53" t="s">
        <v>38</v>
      </c>
      <c r="J27" s="96">
        <v>13.32</v>
      </c>
      <c r="K27" s="99">
        <v>3.3</v>
      </c>
    </row>
    <row r="28" spans="2:11" ht="14.5" customHeight="1" x14ac:dyDescent="0.35">
      <c r="B28" s="94"/>
      <c r="C28" s="102" t="s">
        <v>3</v>
      </c>
      <c r="D28" s="39">
        <v>0.1</v>
      </c>
      <c r="E28" s="39">
        <v>4</v>
      </c>
      <c r="F28" s="39" t="s">
        <v>61</v>
      </c>
      <c r="G28" s="39" t="s">
        <v>38</v>
      </c>
      <c r="H28" s="72" t="s">
        <v>38</v>
      </c>
      <c r="J28" s="96"/>
      <c r="K28" s="99"/>
    </row>
    <row r="29" spans="2:11" x14ac:dyDescent="0.35">
      <c r="B29" s="94"/>
      <c r="C29" s="103"/>
      <c r="D29" s="39" t="s">
        <v>94</v>
      </c>
      <c r="E29" s="39">
        <v>3</v>
      </c>
      <c r="F29" s="39" t="s">
        <v>62</v>
      </c>
      <c r="G29" s="39" t="s">
        <v>38</v>
      </c>
      <c r="H29" s="72" t="s">
        <v>38</v>
      </c>
      <c r="J29" s="96"/>
      <c r="K29" s="99"/>
    </row>
    <row r="30" spans="2:11" x14ac:dyDescent="0.35">
      <c r="B30" s="94"/>
      <c r="C30" s="103"/>
      <c r="D30" s="39" t="s">
        <v>95</v>
      </c>
      <c r="E30" s="39">
        <v>2</v>
      </c>
      <c r="F30" s="39" t="s">
        <v>61</v>
      </c>
      <c r="G30" s="39" t="s">
        <v>38</v>
      </c>
      <c r="H30" s="72" t="s">
        <v>38</v>
      </c>
      <c r="J30" s="96"/>
      <c r="K30" s="99"/>
    </row>
    <row r="31" spans="2:11" x14ac:dyDescent="0.35">
      <c r="B31" s="94"/>
      <c r="C31" s="103"/>
      <c r="D31" s="39">
        <v>1.9</v>
      </c>
      <c r="E31" s="39">
        <v>1</v>
      </c>
      <c r="F31" s="39" t="s">
        <v>61</v>
      </c>
      <c r="G31" s="39" t="s">
        <v>38</v>
      </c>
      <c r="H31" s="72" t="s">
        <v>38</v>
      </c>
      <c r="J31" s="96"/>
      <c r="K31" s="99"/>
    </row>
    <row r="32" spans="2:11" x14ac:dyDescent="0.35">
      <c r="B32" s="94"/>
      <c r="C32" s="102" t="s">
        <v>96</v>
      </c>
      <c r="D32" s="39" t="s">
        <v>97</v>
      </c>
      <c r="E32" s="39" t="s">
        <v>38</v>
      </c>
      <c r="F32" s="39" t="s">
        <v>38</v>
      </c>
      <c r="G32" s="39">
        <v>4</v>
      </c>
      <c r="H32" s="72" t="s">
        <v>61</v>
      </c>
      <c r="J32" s="96"/>
      <c r="K32" s="99"/>
    </row>
    <row r="33" spans="2:11" x14ac:dyDescent="0.35">
      <c r="B33" s="94"/>
      <c r="C33" s="103"/>
      <c r="D33" s="39" t="s">
        <v>98</v>
      </c>
      <c r="E33" s="39" t="s">
        <v>38</v>
      </c>
      <c r="F33" s="39" t="s">
        <v>38</v>
      </c>
      <c r="G33" s="39">
        <v>2</v>
      </c>
      <c r="H33" s="72" t="s">
        <v>61</v>
      </c>
      <c r="J33" s="96"/>
      <c r="K33" s="99"/>
    </row>
    <row r="34" spans="2:11" x14ac:dyDescent="0.35">
      <c r="B34" s="94"/>
      <c r="C34" s="103"/>
      <c r="D34" s="39">
        <v>3</v>
      </c>
      <c r="E34" s="39" t="s">
        <v>38</v>
      </c>
      <c r="F34" s="39" t="s">
        <v>38</v>
      </c>
      <c r="G34" s="39">
        <v>0</v>
      </c>
      <c r="H34" s="72" t="s">
        <v>62</v>
      </c>
      <c r="J34" s="96"/>
      <c r="K34" s="99"/>
    </row>
    <row r="35" spans="2:11" x14ac:dyDescent="0.35">
      <c r="B35" s="94" t="s">
        <v>9</v>
      </c>
      <c r="C35" s="96" t="s">
        <v>88</v>
      </c>
      <c r="D35" s="96"/>
      <c r="E35" s="46">
        <v>2</v>
      </c>
      <c r="F35" s="46" t="s">
        <v>38</v>
      </c>
      <c r="G35" s="46" t="s">
        <v>123</v>
      </c>
      <c r="H35" s="53" t="s">
        <v>38</v>
      </c>
      <c r="J35" s="96">
        <v>30.39</v>
      </c>
      <c r="K35" s="99">
        <v>2</v>
      </c>
    </row>
    <row r="36" spans="2:11" ht="14.5" customHeight="1" x14ac:dyDescent="0.35">
      <c r="B36" s="94"/>
      <c r="C36" s="102" t="s">
        <v>3</v>
      </c>
      <c r="D36" s="39" t="s">
        <v>100</v>
      </c>
      <c r="E36" s="71" t="s">
        <v>101</v>
      </c>
      <c r="F36" s="39" t="s">
        <v>61</v>
      </c>
      <c r="G36" s="39" t="s">
        <v>38</v>
      </c>
      <c r="H36" s="72" t="s">
        <v>38</v>
      </c>
      <c r="J36" s="96"/>
      <c r="K36" s="99"/>
    </row>
    <row r="37" spans="2:11" x14ac:dyDescent="0.35">
      <c r="B37" s="94"/>
      <c r="C37" s="103"/>
      <c r="D37" s="39" t="s">
        <v>102</v>
      </c>
      <c r="E37" s="39">
        <v>2</v>
      </c>
      <c r="F37" s="39" t="s">
        <v>62</v>
      </c>
      <c r="G37" s="39" t="s">
        <v>38</v>
      </c>
      <c r="H37" s="72" t="s">
        <v>38</v>
      </c>
      <c r="J37" s="96"/>
      <c r="K37" s="99"/>
    </row>
    <row r="38" spans="2:11" x14ac:dyDescent="0.35">
      <c r="B38" s="94"/>
      <c r="C38" s="103"/>
      <c r="D38" s="39">
        <v>0.9</v>
      </c>
      <c r="E38" s="39">
        <v>1</v>
      </c>
      <c r="F38" s="39" t="s">
        <v>61</v>
      </c>
      <c r="G38" s="39" t="s">
        <v>38</v>
      </c>
      <c r="H38" s="72" t="s">
        <v>38</v>
      </c>
      <c r="J38" s="96"/>
      <c r="K38" s="99"/>
    </row>
    <row r="39" spans="2:11" x14ac:dyDescent="0.35">
      <c r="B39" s="94"/>
      <c r="C39" s="102" t="s">
        <v>103</v>
      </c>
      <c r="D39" s="39">
        <v>3.2</v>
      </c>
      <c r="E39" s="39" t="s">
        <v>38</v>
      </c>
      <c r="F39" s="39" t="s">
        <v>38</v>
      </c>
      <c r="G39" s="39" t="s">
        <v>136</v>
      </c>
      <c r="H39" s="72" t="s">
        <v>61</v>
      </c>
      <c r="J39" s="96"/>
      <c r="K39" s="99"/>
    </row>
    <row r="40" spans="2:11" x14ac:dyDescent="0.35">
      <c r="B40" s="94"/>
      <c r="C40" s="103"/>
      <c r="D40" s="39" t="s">
        <v>104</v>
      </c>
      <c r="E40" s="39" t="s">
        <v>38</v>
      </c>
      <c r="F40" s="39" t="s">
        <v>38</v>
      </c>
      <c r="G40" s="39" t="s">
        <v>123</v>
      </c>
      <c r="H40" s="72" t="s">
        <v>62</v>
      </c>
      <c r="J40" s="96"/>
      <c r="K40" s="99"/>
    </row>
    <row r="41" spans="2:11" x14ac:dyDescent="0.35">
      <c r="B41" s="94"/>
      <c r="C41" s="103"/>
      <c r="D41" s="39">
        <v>8</v>
      </c>
      <c r="E41" s="39" t="s">
        <v>38</v>
      </c>
      <c r="F41" s="39" t="s">
        <v>38</v>
      </c>
      <c r="G41" s="39" t="s">
        <v>124</v>
      </c>
      <c r="H41" s="72" t="s">
        <v>61</v>
      </c>
      <c r="J41" s="96"/>
      <c r="K41" s="99"/>
    </row>
    <row r="42" spans="2:11" x14ac:dyDescent="0.35">
      <c r="B42" s="94" t="s">
        <v>10</v>
      </c>
      <c r="C42" s="96" t="s">
        <v>88</v>
      </c>
      <c r="D42" s="96"/>
      <c r="E42" s="46">
        <v>6</v>
      </c>
      <c r="F42" s="46" t="s">
        <v>38</v>
      </c>
      <c r="G42" s="46" t="s">
        <v>125</v>
      </c>
      <c r="H42" s="53" t="s">
        <v>38</v>
      </c>
      <c r="J42" s="96">
        <v>25.58</v>
      </c>
      <c r="K42" s="99">
        <v>3.76</v>
      </c>
    </row>
    <row r="43" spans="2:11" ht="14.5" customHeight="1" x14ac:dyDescent="0.35">
      <c r="B43" s="94"/>
      <c r="C43" s="102" t="s">
        <v>3</v>
      </c>
      <c r="D43" s="39" t="s">
        <v>100</v>
      </c>
      <c r="E43" s="39">
        <v>6</v>
      </c>
      <c r="F43" s="39" t="s">
        <v>62</v>
      </c>
      <c r="G43" s="39" t="s">
        <v>38</v>
      </c>
      <c r="H43" s="72" t="s">
        <v>38</v>
      </c>
      <c r="J43" s="96"/>
      <c r="K43" s="99"/>
    </row>
    <row r="44" spans="2:11" x14ac:dyDescent="0.35">
      <c r="B44" s="94"/>
      <c r="C44" s="103"/>
      <c r="D44" s="39">
        <v>0.6</v>
      </c>
      <c r="E44" s="39">
        <v>4</v>
      </c>
      <c r="F44" s="39" t="s">
        <v>61</v>
      </c>
      <c r="G44" s="39" t="s">
        <v>38</v>
      </c>
      <c r="H44" s="72" t="s">
        <v>38</v>
      </c>
      <c r="J44" s="96"/>
      <c r="K44" s="99"/>
    </row>
    <row r="45" spans="2:11" x14ac:dyDescent="0.35">
      <c r="B45" s="94"/>
      <c r="C45" s="102" t="s">
        <v>113</v>
      </c>
      <c r="D45" s="39">
        <v>3.4</v>
      </c>
      <c r="E45" s="39" t="s">
        <v>38</v>
      </c>
      <c r="F45" s="39" t="s">
        <v>38</v>
      </c>
      <c r="G45" s="39" t="s">
        <v>126</v>
      </c>
      <c r="H45" s="72" t="s">
        <v>61</v>
      </c>
      <c r="J45" s="96"/>
      <c r="K45" s="99"/>
    </row>
    <row r="46" spans="2:11" x14ac:dyDescent="0.35">
      <c r="B46" s="94"/>
      <c r="C46" s="103"/>
      <c r="D46" s="39" t="s">
        <v>114</v>
      </c>
      <c r="E46" s="39" t="s">
        <v>38</v>
      </c>
      <c r="F46" s="39" t="s">
        <v>38</v>
      </c>
      <c r="G46" s="39" t="s">
        <v>125</v>
      </c>
      <c r="H46" s="72" t="s">
        <v>62</v>
      </c>
      <c r="J46" s="96"/>
      <c r="K46" s="99"/>
    </row>
    <row r="47" spans="2:11" x14ac:dyDescent="0.35">
      <c r="B47" s="94"/>
      <c r="C47" s="103"/>
      <c r="D47" s="39">
        <v>4.2</v>
      </c>
      <c r="E47" s="39" t="s">
        <v>38</v>
      </c>
      <c r="F47" s="39" t="s">
        <v>38</v>
      </c>
      <c r="G47" s="39" t="s">
        <v>127</v>
      </c>
      <c r="H47" s="72" t="s">
        <v>61</v>
      </c>
      <c r="J47" s="96"/>
      <c r="K47" s="99"/>
    </row>
    <row r="48" spans="2:11" x14ac:dyDescent="0.35">
      <c r="B48" s="94" t="s">
        <v>11</v>
      </c>
      <c r="C48" s="96" t="s">
        <v>88</v>
      </c>
      <c r="D48" s="96"/>
      <c r="E48" s="46">
        <v>2</v>
      </c>
      <c r="F48" s="46" t="s">
        <v>38</v>
      </c>
      <c r="G48" s="46" t="s">
        <v>128</v>
      </c>
      <c r="H48" s="53" t="s">
        <v>38</v>
      </c>
      <c r="J48" s="96">
        <v>26.65</v>
      </c>
      <c r="K48" s="99">
        <v>2.0499999999999998</v>
      </c>
    </row>
    <row r="49" spans="2:11" ht="14.5" customHeight="1" x14ac:dyDescent="0.35">
      <c r="B49" s="94"/>
      <c r="C49" s="102" t="s">
        <v>3</v>
      </c>
      <c r="D49" s="39" t="s">
        <v>105</v>
      </c>
      <c r="E49" s="39">
        <v>3</v>
      </c>
      <c r="F49" s="39" t="s">
        <v>61</v>
      </c>
      <c r="G49" s="39" t="s">
        <v>38</v>
      </c>
      <c r="H49" s="72" t="s">
        <v>38</v>
      </c>
      <c r="J49" s="96"/>
      <c r="K49" s="99"/>
    </row>
    <row r="50" spans="2:11" x14ac:dyDescent="0.35">
      <c r="B50" s="94"/>
      <c r="C50" s="103"/>
      <c r="D50" s="39" t="s">
        <v>106</v>
      </c>
      <c r="E50" s="39">
        <v>2</v>
      </c>
      <c r="F50" s="39" t="s">
        <v>62</v>
      </c>
      <c r="G50" s="39" t="s">
        <v>38</v>
      </c>
      <c r="H50" s="72" t="s">
        <v>38</v>
      </c>
      <c r="J50" s="96"/>
      <c r="K50" s="99"/>
    </row>
    <row r="51" spans="2:11" x14ac:dyDescent="0.35">
      <c r="B51" s="94"/>
      <c r="C51" s="103"/>
      <c r="D51" s="39">
        <v>1.1000000000000001</v>
      </c>
      <c r="E51" s="39">
        <v>1</v>
      </c>
      <c r="F51" s="39" t="s">
        <v>61</v>
      </c>
      <c r="G51" s="39" t="s">
        <v>38</v>
      </c>
      <c r="H51" s="72" t="s">
        <v>38</v>
      </c>
      <c r="J51" s="96"/>
      <c r="K51" s="99"/>
    </row>
    <row r="52" spans="2:11" x14ac:dyDescent="0.35">
      <c r="B52" s="94"/>
      <c r="C52" s="102" t="s">
        <v>96</v>
      </c>
      <c r="D52" s="39" t="s">
        <v>107</v>
      </c>
      <c r="E52" s="39" t="s">
        <v>38</v>
      </c>
      <c r="F52" s="39" t="s">
        <v>38</v>
      </c>
      <c r="G52" s="39" t="s">
        <v>129</v>
      </c>
      <c r="H52" s="72" t="s">
        <v>61</v>
      </c>
      <c r="J52" s="96"/>
      <c r="K52" s="99"/>
    </row>
    <row r="53" spans="2:11" x14ac:dyDescent="0.35">
      <c r="B53" s="94"/>
      <c r="C53" s="103"/>
      <c r="D53" s="39" t="s">
        <v>108</v>
      </c>
      <c r="E53" s="39" t="s">
        <v>38</v>
      </c>
      <c r="F53" s="39" t="s">
        <v>38</v>
      </c>
      <c r="G53" s="39" t="s">
        <v>128</v>
      </c>
      <c r="H53" s="72" t="s">
        <v>62</v>
      </c>
      <c r="J53" s="96"/>
      <c r="K53" s="99"/>
    </row>
    <row r="54" spans="2:11" x14ac:dyDescent="0.35">
      <c r="B54" s="94"/>
      <c r="C54" s="103"/>
      <c r="D54" s="39">
        <v>8.8000000000000007</v>
      </c>
      <c r="E54" s="39" t="s">
        <v>38</v>
      </c>
      <c r="F54" s="39" t="s">
        <v>38</v>
      </c>
      <c r="G54" s="39" t="s">
        <v>130</v>
      </c>
      <c r="H54" s="72" t="s">
        <v>61</v>
      </c>
      <c r="J54" s="96"/>
      <c r="K54" s="99"/>
    </row>
    <row r="55" spans="2:11" x14ac:dyDescent="0.35">
      <c r="B55" s="94" t="s">
        <v>12</v>
      </c>
      <c r="C55" s="96" t="s">
        <v>88</v>
      </c>
      <c r="D55" s="96"/>
      <c r="E55" s="46">
        <v>3</v>
      </c>
      <c r="F55" s="46" t="s">
        <v>38</v>
      </c>
      <c r="G55" s="46" t="s">
        <v>131</v>
      </c>
      <c r="H55" s="53" t="s">
        <v>38</v>
      </c>
      <c r="J55" s="96">
        <v>27.44</v>
      </c>
      <c r="K55" s="99">
        <v>3</v>
      </c>
    </row>
    <row r="56" spans="2:11" ht="14.5" customHeight="1" x14ac:dyDescent="0.35">
      <c r="B56" s="94"/>
      <c r="C56" s="102" t="s">
        <v>3</v>
      </c>
      <c r="D56" s="39" t="s">
        <v>97</v>
      </c>
      <c r="E56" s="39">
        <v>4</v>
      </c>
      <c r="F56" s="39" t="s">
        <v>61</v>
      </c>
      <c r="G56" s="39" t="s">
        <v>38</v>
      </c>
      <c r="H56" s="72" t="s">
        <v>38</v>
      </c>
      <c r="J56" s="96"/>
      <c r="K56" s="99"/>
    </row>
    <row r="57" spans="2:11" x14ac:dyDescent="0.35">
      <c r="B57" s="94"/>
      <c r="C57" s="103"/>
      <c r="D57" s="39" t="s">
        <v>109</v>
      </c>
      <c r="E57" s="39">
        <v>3</v>
      </c>
      <c r="F57" s="39" t="s">
        <v>62</v>
      </c>
      <c r="G57" s="39" t="s">
        <v>38</v>
      </c>
      <c r="H57" s="72" t="s">
        <v>38</v>
      </c>
      <c r="J57" s="96"/>
      <c r="K57" s="99"/>
    </row>
    <row r="58" spans="2:11" x14ac:dyDescent="0.35">
      <c r="B58" s="94"/>
      <c r="C58" s="103"/>
      <c r="D58" s="39">
        <v>0.9</v>
      </c>
      <c r="E58" s="39">
        <v>1</v>
      </c>
      <c r="F58" s="39" t="s">
        <v>61</v>
      </c>
      <c r="G58" s="39" t="s">
        <v>38</v>
      </c>
      <c r="H58" s="72" t="s">
        <v>38</v>
      </c>
      <c r="J58" s="96"/>
      <c r="K58" s="99"/>
    </row>
    <row r="59" spans="2:11" x14ac:dyDescent="0.35">
      <c r="B59" s="94"/>
      <c r="C59" s="102" t="s">
        <v>103</v>
      </c>
      <c r="D59" s="39" t="s">
        <v>100</v>
      </c>
      <c r="E59" s="39" t="s">
        <v>38</v>
      </c>
      <c r="F59" s="39" t="s">
        <v>38</v>
      </c>
      <c r="G59" s="39" t="s">
        <v>132</v>
      </c>
      <c r="H59" s="72" t="s">
        <v>61</v>
      </c>
      <c r="J59" s="96"/>
      <c r="K59" s="99"/>
    </row>
    <row r="60" spans="2:11" x14ac:dyDescent="0.35">
      <c r="B60" s="94"/>
      <c r="C60" s="102"/>
      <c r="D60" s="39" t="s">
        <v>110</v>
      </c>
      <c r="E60" s="39" t="s">
        <v>38</v>
      </c>
      <c r="F60" s="39" t="s">
        <v>38</v>
      </c>
      <c r="G60" s="39" t="s">
        <v>133</v>
      </c>
      <c r="H60" s="72" t="s">
        <v>61</v>
      </c>
      <c r="J60" s="96"/>
      <c r="K60" s="99"/>
    </row>
    <row r="61" spans="2:11" x14ac:dyDescent="0.35">
      <c r="B61" s="94"/>
      <c r="C61" s="103"/>
      <c r="D61" s="39" t="s">
        <v>111</v>
      </c>
      <c r="E61" s="39" t="s">
        <v>38</v>
      </c>
      <c r="F61" s="39" t="s">
        <v>38</v>
      </c>
      <c r="G61" s="39" t="s">
        <v>134</v>
      </c>
      <c r="H61" s="72" t="s">
        <v>61</v>
      </c>
      <c r="J61" s="96"/>
      <c r="K61" s="99"/>
    </row>
    <row r="62" spans="2:11" x14ac:dyDescent="0.35">
      <c r="B62" s="94"/>
      <c r="C62" s="103"/>
      <c r="D62" s="39" t="s">
        <v>112</v>
      </c>
      <c r="E62" s="39" t="s">
        <v>38</v>
      </c>
      <c r="F62" s="39" t="s">
        <v>38</v>
      </c>
      <c r="G62" s="39" t="s">
        <v>131</v>
      </c>
      <c r="H62" s="72" t="s">
        <v>62</v>
      </c>
      <c r="J62" s="97"/>
      <c r="K62" s="100"/>
    </row>
    <row r="63" spans="2:11" ht="15" thickBot="1" x14ac:dyDescent="0.4">
      <c r="B63" s="95"/>
      <c r="C63" s="104"/>
      <c r="D63" s="42">
        <v>10</v>
      </c>
      <c r="E63" s="42" t="s">
        <v>38</v>
      </c>
      <c r="F63" s="42" t="s">
        <v>38</v>
      </c>
      <c r="G63" s="42" t="s">
        <v>135</v>
      </c>
      <c r="H63" s="73" t="s">
        <v>61</v>
      </c>
      <c r="J63" s="98"/>
      <c r="K63" s="101"/>
    </row>
    <row r="65" spans="2:11" x14ac:dyDescent="0.35">
      <c r="B65" s="105" t="s">
        <v>116</v>
      </c>
      <c r="C65" s="106"/>
      <c r="D65" s="106"/>
      <c r="E65" s="106"/>
      <c r="F65" s="106"/>
      <c r="G65" s="106"/>
      <c r="H65" s="106"/>
      <c r="I65" s="106"/>
      <c r="J65" s="106"/>
      <c r="K65" s="106"/>
    </row>
    <row r="66" spans="2:11" x14ac:dyDescent="0.35">
      <c r="B66" s="106"/>
      <c r="C66" s="106"/>
      <c r="D66" s="106"/>
      <c r="E66" s="106"/>
      <c r="F66" s="106"/>
      <c r="G66" s="106"/>
      <c r="H66" s="106"/>
      <c r="I66" s="106"/>
      <c r="J66" s="106"/>
      <c r="K66" s="106"/>
    </row>
  </sheetData>
  <mergeCells count="54">
    <mergeCell ref="J19:J26"/>
    <mergeCell ref="K35:K41"/>
    <mergeCell ref="B65:K66"/>
    <mergeCell ref="C3:D3"/>
    <mergeCell ref="C4:C7"/>
    <mergeCell ref="C8:C10"/>
    <mergeCell ref="B3:B10"/>
    <mergeCell ref="B11:B18"/>
    <mergeCell ref="C11:D11"/>
    <mergeCell ref="C12:C15"/>
    <mergeCell ref="C16:C18"/>
    <mergeCell ref="D4:D7"/>
    <mergeCell ref="K27:K34"/>
    <mergeCell ref="J3:J10"/>
    <mergeCell ref="K3:K10"/>
    <mergeCell ref="J11:J18"/>
    <mergeCell ref="K11:K18"/>
    <mergeCell ref="J42:J47"/>
    <mergeCell ref="K19:K26"/>
    <mergeCell ref="E4:E7"/>
    <mergeCell ref="F4:F7"/>
    <mergeCell ref="B35:B41"/>
    <mergeCell ref="C35:D35"/>
    <mergeCell ref="J35:J41"/>
    <mergeCell ref="J27:J34"/>
    <mergeCell ref="B19:B26"/>
    <mergeCell ref="C19:D19"/>
    <mergeCell ref="C20:C23"/>
    <mergeCell ref="C24:C26"/>
    <mergeCell ref="B27:B34"/>
    <mergeCell ref="C27:D27"/>
    <mergeCell ref="C28:C31"/>
    <mergeCell ref="C32:C34"/>
    <mergeCell ref="C52:C54"/>
    <mergeCell ref="C36:C38"/>
    <mergeCell ref="C39:C41"/>
    <mergeCell ref="B42:B47"/>
    <mergeCell ref="C42:D42"/>
    <mergeCell ref="M1:Q1"/>
    <mergeCell ref="M9:Q13"/>
    <mergeCell ref="B55:B63"/>
    <mergeCell ref="C55:D55"/>
    <mergeCell ref="J55:J63"/>
    <mergeCell ref="K55:K63"/>
    <mergeCell ref="C56:C58"/>
    <mergeCell ref="C59:C63"/>
    <mergeCell ref="K42:K47"/>
    <mergeCell ref="C43:C44"/>
    <mergeCell ref="C45:C47"/>
    <mergeCell ref="B48:B54"/>
    <mergeCell ref="C48:D48"/>
    <mergeCell ref="J48:J54"/>
    <mergeCell ref="K48:K54"/>
    <mergeCell ref="C49:C51"/>
  </mergeCells>
  <pageMargins left="0.7" right="0.7" top="0.75" bottom="0.75" header="0.3" footer="0.3"/>
  <pageSetup scale="6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Settings</vt:lpstr>
      <vt:lpstr>Regularity_Sensitivity</vt:lpstr>
      <vt:lpstr>Symmetry_Sensitivity</vt:lpstr>
      <vt:lpstr>Complexity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Hossam</dc:creator>
  <cp:lastModifiedBy>Mohammed Hossam</cp:lastModifiedBy>
  <cp:lastPrinted>2026-08-09T21:21:22Z</cp:lastPrinted>
  <dcterms:created xsi:type="dcterms:W3CDTF">2026-08-02T19:22:49Z</dcterms:created>
  <dcterms:modified xsi:type="dcterms:W3CDTF">2026-08-10T14:55:13Z</dcterms:modified>
</cp:coreProperties>
</file>