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Master\Progress Reports (Tasks)\Task 4\Dynamo Scripts\Repository\"/>
    </mc:Choice>
  </mc:AlternateContent>
  <xr:revisionPtr revIDLastSave="0" documentId="13_ncr:1_{ADC44584-2929-4834-BF8B-2BCD7F1D1FC7}" xr6:coauthVersionLast="47" xr6:coauthVersionMax="47" xr10:uidLastSave="{00000000-0000-0000-0000-000000000000}"/>
  <bookViews>
    <workbookView xWindow="-110" yWindow="-110" windowWidth="25820" windowHeight="14020" tabRatio="774" firstSheet="4" activeTab="4" xr2:uid="{00000000-000D-0000-FFFF-FFFF00000000}"/>
  </bookViews>
  <sheets>
    <sheet name="Field of Work" sheetId="4" r:id="rId1"/>
    <sheet name="Sheet4" sheetId="5" r:id="rId2"/>
    <sheet name="Sheet5" sheetId="6" r:id="rId3"/>
    <sheet name="Sheet6" sheetId="7" r:id="rId4"/>
    <sheet name="Form Responses 1" sheetId="1" r:id="rId5"/>
    <sheet name="Sheet1" sheetId="2" r:id="rId6"/>
    <sheet name="Pearson" sheetId="9" r:id="rId7"/>
    <sheet name="Error from BIM" sheetId="11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G40" i="1" l="1"/>
  <c r="G39" i="1"/>
  <c r="G43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K39" i="1"/>
  <c r="J39" i="1"/>
  <c r="I39" i="1"/>
  <c r="H39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I42" i="1" l="1"/>
  <c r="AF42" i="1"/>
  <c r="X42" i="1"/>
  <c r="P42" i="1"/>
  <c r="AH42" i="1"/>
  <c r="AE42" i="1"/>
  <c r="W42" i="1"/>
  <c r="O42" i="1"/>
  <c r="K42" i="1"/>
  <c r="AK42" i="1"/>
  <c r="AC42" i="1"/>
  <c r="U42" i="1"/>
  <c r="M42" i="1"/>
  <c r="AD42" i="1"/>
  <c r="AJ42" i="1"/>
  <c r="AB42" i="1"/>
  <c r="T42" i="1"/>
  <c r="L42" i="1"/>
  <c r="V42" i="1"/>
  <c r="AI42" i="1"/>
  <c r="AA42" i="1"/>
  <c r="S42" i="1"/>
  <c r="N42" i="1"/>
  <c r="H42" i="1"/>
  <c r="AG42" i="1"/>
  <c r="Y42" i="1"/>
  <c r="Q42" i="1"/>
  <c r="J42" i="1"/>
  <c r="G42" i="1"/>
  <c r="Z42" i="1"/>
  <c r="R42" i="1"/>
  <c r="AM40" i="1"/>
  <c r="AL40" i="1"/>
  <c r="J43" i="1"/>
  <c r="H43" i="1"/>
  <c r="K43" i="1"/>
  <c r="M43" i="1"/>
  <c r="L43" i="1"/>
  <c r="I43" i="1"/>
  <c r="G45" i="1" l="1"/>
  <c r="G47" i="1"/>
  <c r="V45" i="1"/>
  <c r="AK45" i="1"/>
  <c r="AK47" i="1"/>
  <c r="AE47" i="1"/>
  <c r="AE45" i="1"/>
  <c r="V47" i="1"/>
  <c r="V48" i="1" s="1"/>
  <c r="W47" i="1"/>
  <c r="W45" i="1"/>
  <c r="O45" i="1"/>
  <c r="O47" i="1"/>
  <c r="AD45" i="1"/>
  <c r="AD47" i="1"/>
  <c r="N47" i="1"/>
  <c r="U45" i="1"/>
  <c r="U47" i="1"/>
  <c r="AJ47" i="1"/>
  <c r="AJ45" i="1"/>
  <c r="AB45" i="1"/>
  <c r="AB47" i="1"/>
  <c r="T45" i="1"/>
  <c r="T47" i="1"/>
  <c r="L45" i="1"/>
  <c r="L47" i="1"/>
  <c r="AC47" i="1"/>
  <c r="AC45" i="1"/>
  <c r="AI47" i="1"/>
  <c r="AI45" i="1"/>
  <c r="AA47" i="1"/>
  <c r="AA45" i="1"/>
  <c r="S47" i="1"/>
  <c r="N45" i="1"/>
  <c r="S45" i="1"/>
  <c r="K47" i="1"/>
  <c r="K45" i="1"/>
  <c r="M47" i="1"/>
  <c r="M45" i="1"/>
  <c r="AH45" i="1"/>
  <c r="AH47" i="1"/>
  <c r="Z47" i="1"/>
  <c r="Z45" i="1"/>
  <c r="R47" i="1"/>
  <c r="R45" i="1"/>
  <c r="J47" i="1"/>
  <c r="J45" i="1"/>
  <c r="AG45" i="1"/>
  <c r="AG47" i="1"/>
  <c r="Y45" i="1"/>
  <c r="Y47" i="1"/>
  <c r="Q45" i="1"/>
  <c r="Q47" i="1"/>
  <c r="H45" i="1"/>
  <c r="I45" i="1"/>
  <c r="H47" i="1"/>
  <c r="I47" i="1"/>
  <c r="AF45" i="1"/>
  <c r="AF47" i="1"/>
  <c r="X47" i="1"/>
  <c r="X45" i="1"/>
  <c r="P45" i="1"/>
  <c r="P47" i="1"/>
  <c r="N48" i="1" l="1"/>
  <c r="AD48" i="1"/>
  <c r="AD46" i="1"/>
  <c r="V46" i="1"/>
  <c r="G48" i="1"/>
  <c r="N46" i="1"/>
  <c r="G46" i="1"/>
  <c r="G44" i="1"/>
  <c r="V44" i="1"/>
  <c r="N44" i="1"/>
  <c r="AD44" i="1"/>
</calcChain>
</file>

<file path=xl/sharedStrings.xml><?xml version="1.0" encoding="utf-8"?>
<sst xmlns="http://schemas.openxmlformats.org/spreadsheetml/2006/main" count="403" uniqueCount="79">
  <si>
    <t>Gender</t>
  </si>
  <si>
    <t>Primary field of work</t>
  </si>
  <si>
    <t>Male</t>
  </si>
  <si>
    <t>Teaching</t>
  </si>
  <si>
    <t>10-14</t>
  </si>
  <si>
    <t>Rarely</t>
  </si>
  <si>
    <t>Fair</t>
  </si>
  <si>
    <t>Female</t>
  </si>
  <si>
    <t>Architectural design</t>
  </si>
  <si>
    <t>5-9</t>
  </si>
  <si>
    <t>Occasionally</t>
  </si>
  <si>
    <t>Very good</t>
  </si>
  <si>
    <t>+14</t>
  </si>
  <si>
    <t>Frequently</t>
  </si>
  <si>
    <t>Good</t>
  </si>
  <si>
    <t xml:space="preserve">Urban Design </t>
  </si>
  <si>
    <t>Research</t>
  </si>
  <si>
    <t>0-4</t>
  </si>
  <si>
    <t>Always</t>
  </si>
  <si>
    <t>Excellent</t>
  </si>
  <si>
    <t>Universal design</t>
  </si>
  <si>
    <t xml:space="preserve">Urban planning </t>
  </si>
  <si>
    <t>Architectural Engineering student</t>
  </si>
  <si>
    <t>Below average</t>
  </si>
  <si>
    <t>Median</t>
  </si>
  <si>
    <t>Mean</t>
  </si>
  <si>
    <t>Rank_Humans</t>
  </si>
  <si>
    <t>Rank_GroundTruth</t>
  </si>
  <si>
    <t>Abs mean</t>
  </si>
  <si>
    <t>Reg</t>
  </si>
  <si>
    <t>Complexity</t>
  </si>
  <si>
    <t>Diversity</t>
  </si>
  <si>
    <t>Balance</t>
  </si>
  <si>
    <t>BIM</t>
  </si>
  <si>
    <t>Row Labels</t>
  </si>
  <si>
    <t>Grand Total</t>
  </si>
  <si>
    <t>Count of Column8</t>
  </si>
  <si>
    <t>Count of Column9</t>
  </si>
  <si>
    <t>Count of Column12</t>
  </si>
  <si>
    <t>R1</t>
  </si>
  <si>
    <t>R2</t>
  </si>
  <si>
    <t>R3</t>
  </si>
  <si>
    <t>B1</t>
  </si>
  <si>
    <t>B2</t>
  </si>
  <si>
    <t>B3</t>
  </si>
  <si>
    <t>B4</t>
  </si>
  <si>
    <t>D1</t>
  </si>
  <si>
    <t>D2</t>
  </si>
  <si>
    <t>D3</t>
  </si>
  <si>
    <t>D4</t>
  </si>
  <si>
    <t>C1</t>
  </si>
  <si>
    <t>C2</t>
  </si>
  <si>
    <t>C3</t>
  </si>
  <si>
    <t>C4</t>
  </si>
  <si>
    <t>X</t>
  </si>
  <si>
    <t>Y</t>
  </si>
  <si>
    <t>Std. Div.</t>
  </si>
  <si>
    <t>Spearman Correlation</t>
  </si>
  <si>
    <t>Level of application and attention to
architectural aesthetics in the design process</t>
  </si>
  <si>
    <t>CS1</t>
  </si>
  <si>
    <t>CS2</t>
  </si>
  <si>
    <t>CS3</t>
  </si>
  <si>
    <t>CS4</t>
  </si>
  <si>
    <t>Regularity</t>
  </si>
  <si>
    <t>Group 1</t>
  </si>
  <si>
    <t>Group 2</t>
  </si>
  <si>
    <t>Excluded Responses</t>
  </si>
  <si>
    <t>Site Engineer</t>
  </si>
  <si>
    <t>BIM-based Evaluation</t>
  </si>
  <si>
    <t>Rank_BIM</t>
  </si>
  <si>
    <t>Rank_Respondents</t>
  </si>
  <si>
    <t>Mean-BIM ^2</t>
  </si>
  <si>
    <t>Symmetry-based Balance</t>
  </si>
  <si>
    <t xml:space="preserve">Frequency of façade
design involvement </t>
  </si>
  <si>
    <t>Years of architectural
design experience</t>
  </si>
  <si>
    <t>MAE (Percentage Points)</t>
  </si>
  <si>
    <t>RMSE (Percentage Points)</t>
  </si>
  <si>
    <t>Questionnaire Responses – Group 1: 3D Isometric Views</t>
  </si>
  <si>
    <t>Each row represents one anonymised respondent. The upper section contains responses retained for analysis. The lower red-shaded section contains excluded responses. Direct personal identifiers have been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</si>
</sst>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scheme val="minor"/>
    </font>
    <font>
      <sz val="16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9" fontId="7" fillId="0" borderId="0" applyFont="0" applyFill="0" applyBorder="0" applyAlignment="0" applyProtection="0"/>
  </cellStyleXfs>
  <cellXfs count="110">
    <xf numFmtId="0" fontId="0" fillId="0" borderId="0" xfId="0"/>
    <xf numFmtId="0" fontId="5" fillId="0" borderId="0" xfId="0" applyFont="1"/>
    <xf numFmtId="0" fontId="4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164" fontId="0" fillId="0" borderId="0" xfId="0" applyNumberFormat="1"/>
    <xf numFmtId="10" fontId="0" fillId="0" borderId="3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9" fontId="0" fillId="0" borderId="3" xfId="0" applyNumberFormat="1" applyBorder="1"/>
    <xf numFmtId="9" fontId="0" fillId="0" borderId="4" xfId="0" applyNumberFormat="1" applyBorder="1"/>
    <xf numFmtId="9" fontId="1" fillId="5" borderId="7" xfId="0" applyNumberFormat="1" applyFont="1" applyFill="1" applyBorder="1" applyAlignment="1">
      <alignment vertical="center"/>
    </xf>
    <xf numFmtId="9" fontId="0" fillId="0" borderId="0" xfId="2" applyFont="1"/>
    <xf numFmtId="9" fontId="1" fillId="5" borderId="7" xfId="2" applyFont="1" applyFill="1" applyBorder="1" applyAlignment="1">
      <alignment vertical="center"/>
    </xf>
    <xf numFmtId="9" fontId="6" fillId="5" borderId="7" xfId="2" applyFont="1" applyFill="1" applyBorder="1" applyAlignment="1">
      <alignment vertical="center"/>
    </xf>
    <xf numFmtId="0" fontId="1" fillId="5" borderId="7" xfId="2" applyNumberFormat="1" applyFont="1" applyFill="1" applyBorder="1" applyAlignment="1">
      <alignment vertical="center"/>
    </xf>
    <xf numFmtId="0" fontId="1" fillId="7" borderId="7" xfId="2" applyNumberFormat="1" applyFont="1" applyFill="1" applyBorder="1" applyAlignment="1">
      <alignment vertical="center"/>
    </xf>
    <xf numFmtId="2" fontId="1" fillId="5" borderId="7" xfId="2" applyNumberFormat="1" applyFont="1" applyFill="1" applyBorder="1" applyAlignment="1">
      <alignment vertical="center"/>
    </xf>
    <xf numFmtId="2" fontId="1" fillId="7" borderId="7" xfId="2" applyNumberFormat="1" applyFont="1" applyFill="1" applyBorder="1" applyAlignment="1">
      <alignment vertical="center"/>
    </xf>
    <xf numFmtId="0" fontId="3" fillId="4" borderId="7" xfId="2" applyNumberFormat="1" applyFont="1" applyFill="1" applyBorder="1" applyAlignment="1">
      <alignment horizontal="center" vertical="center"/>
    </xf>
    <xf numFmtId="0" fontId="1" fillId="9" borderId="7" xfId="2" applyNumberFormat="1" applyFont="1" applyFill="1" applyBorder="1" applyAlignment="1">
      <alignment horizontal="center" vertical="center"/>
    </xf>
    <xf numFmtId="0" fontId="1" fillId="10" borderId="7" xfId="2" applyNumberFormat="1" applyFont="1" applyFill="1" applyBorder="1" applyAlignment="1">
      <alignment horizontal="center" vertical="center"/>
    </xf>
    <xf numFmtId="0" fontId="1" fillId="7" borderId="7" xfId="2" applyNumberFormat="1" applyFont="1" applyFill="1" applyBorder="1" applyAlignment="1">
      <alignment horizontal="center" vertical="center"/>
    </xf>
    <xf numFmtId="0" fontId="1" fillId="6" borderId="7" xfId="2" applyNumberFormat="1" applyFont="1" applyFill="1" applyBorder="1" applyAlignment="1">
      <alignment horizontal="center" vertical="center"/>
    </xf>
    <xf numFmtId="0" fontId="3" fillId="7" borderId="7" xfId="2" applyNumberFormat="1" applyFont="1" applyFill="1" applyBorder="1" applyAlignment="1">
      <alignment horizontal="center" vertical="center"/>
    </xf>
    <xf numFmtId="0" fontId="0" fillId="0" borderId="0" xfId="2" applyNumberFormat="1" applyFont="1"/>
    <xf numFmtId="9" fontId="1" fillId="5" borderId="18" xfId="0" applyNumberFormat="1" applyFont="1" applyFill="1" applyBorder="1" applyAlignment="1">
      <alignment vertical="center"/>
    </xf>
    <xf numFmtId="9" fontId="1" fillId="5" borderId="12" xfId="0" applyNumberFormat="1" applyFont="1" applyFill="1" applyBorder="1" applyAlignment="1">
      <alignment vertical="center"/>
    </xf>
    <xf numFmtId="9" fontId="1" fillId="5" borderId="13" xfId="0" applyNumberFormat="1" applyFont="1" applyFill="1" applyBorder="1" applyAlignment="1">
      <alignment vertical="center"/>
    </xf>
    <xf numFmtId="0" fontId="3" fillId="5" borderId="17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0" fillId="5" borderId="0" xfId="0" applyFill="1"/>
    <xf numFmtId="0" fontId="1" fillId="5" borderId="7" xfId="0" quotePrefix="1" applyFont="1" applyFill="1" applyBorder="1" applyAlignment="1">
      <alignment vertical="center"/>
    </xf>
    <xf numFmtId="9" fontId="3" fillId="5" borderId="17" xfId="0" applyNumberFormat="1" applyFont="1" applyFill="1" applyBorder="1" applyAlignment="1">
      <alignment vertical="center"/>
    </xf>
    <xf numFmtId="0" fontId="1" fillId="5" borderId="17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5" borderId="12" xfId="0" quotePrefix="1" applyFont="1" applyFill="1" applyBorder="1" applyAlignment="1">
      <alignment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 wrapText="1"/>
    </xf>
    <xf numFmtId="0" fontId="0" fillId="5" borderId="7" xfId="0" applyFill="1" applyBorder="1"/>
    <xf numFmtId="0" fontId="3" fillId="5" borderId="12" xfId="0" applyFont="1" applyFill="1" applyBorder="1" applyAlignment="1">
      <alignment vertical="center"/>
    </xf>
    <xf numFmtId="0" fontId="0" fillId="0" borderId="7" xfId="0" applyBorder="1"/>
    <xf numFmtId="0" fontId="3" fillId="5" borderId="7" xfId="0" applyFont="1" applyFill="1" applyBorder="1" applyAlignment="1">
      <alignment vertical="center"/>
    </xf>
    <xf numFmtId="0" fontId="3" fillId="4" borderId="19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0" fontId="1" fillId="5" borderId="21" xfId="0" applyFont="1" applyFill="1" applyBorder="1" applyAlignment="1">
      <alignment vertical="center"/>
    </xf>
    <xf numFmtId="9" fontId="1" fillId="5" borderId="21" xfId="2" applyFont="1" applyFill="1" applyBorder="1" applyAlignment="1">
      <alignment vertical="center"/>
    </xf>
    <xf numFmtId="9" fontId="6" fillId="5" borderId="21" xfId="2" applyFont="1" applyFill="1" applyBorder="1" applyAlignment="1">
      <alignment vertical="center"/>
    </xf>
    <xf numFmtId="9" fontId="1" fillId="5" borderId="21" xfId="0" applyNumberFormat="1" applyFont="1" applyFill="1" applyBorder="1" applyAlignment="1">
      <alignment vertical="center"/>
    </xf>
    <xf numFmtId="9" fontId="1" fillId="5" borderId="22" xfId="0" applyNumberFormat="1" applyFont="1" applyFill="1" applyBorder="1" applyAlignment="1">
      <alignment vertical="center"/>
    </xf>
    <xf numFmtId="9" fontId="1" fillId="3" borderId="7" xfId="0" applyNumberFormat="1" applyFont="1" applyFill="1" applyBorder="1" applyAlignment="1">
      <alignment vertical="center"/>
    </xf>
    <xf numFmtId="9" fontId="5" fillId="4" borderId="7" xfId="1" applyNumberFormat="1" applyFont="1" applyFill="1" applyBorder="1"/>
    <xf numFmtId="0" fontId="0" fillId="8" borderId="7" xfId="0" applyFill="1" applyBorder="1"/>
    <xf numFmtId="2" fontId="0" fillId="8" borderId="7" xfId="0" applyNumberFormat="1" applyFill="1" applyBorder="1"/>
    <xf numFmtId="2" fontId="4" fillId="0" borderId="7" xfId="0" applyNumberFormat="1" applyFont="1" applyBorder="1"/>
    <xf numFmtId="2" fontId="0" fillId="0" borderId="7" xfId="0" applyNumberFormat="1" applyBorder="1"/>
    <xf numFmtId="0" fontId="3" fillId="6" borderId="8" xfId="0" applyFont="1" applyFill="1" applyBorder="1" applyAlignment="1">
      <alignment vertical="center"/>
    </xf>
    <xf numFmtId="9" fontId="1" fillId="6" borderId="9" xfId="0" applyNumberFormat="1" applyFont="1" applyFill="1" applyBorder="1" applyAlignment="1">
      <alignment vertical="center"/>
    </xf>
    <xf numFmtId="9" fontId="1" fillId="6" borderId="10" xfId="0" applyNumberFormat="1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9" fontId="1" fillId="3" borderId="18" xfId="0" applyNumberFormat="1" applyFont="1" applyFill="1" applyBorder="1" applyAlignment="1">
      <alignment vertical="center"/>
    </xf>
    <xf numFmtId="0" fontId="5" fillId="4" borderId="17" xfId="0" applyFont="1" applyFill="1" applyBorder="1"/>
    <xf numFmtId="9" fontId="5" fillId="4" borderId="18" xfId="1" applyNumberFormat="1" applyFont="1" applyFill="1" applyBorder="1"/>
    <xf numFmtId="0" fontId="4" fillId="0" borderId="17" xfId="0" applyFont="1" applyBorder="1"/>
    <xf numFmtId="0" fontId="0" fillId="0" borderId="18" xfId="0" applyBorder="1"/>
    <xf numFmtId="0" fontId="5" fillId="8" borderId="17" xfId="0" applyFont="1" applyFill="1" applyBorder="1"/>
    <xf numFmtId="0" fontId="4" fillId="8" borderId="18" xfId="0" applyFont="1" applyFill="1" applyBorder="1"/>
    <xf numFmtId="2" fontId="4" fillId="0" borderId="18" xfId="0" applyNumberFormat="1" applyFont="1" applyBorder="1"/>
    <xf numFmtId="0" fontId="0" fillId="8" borderId="18" xfId="0" applyFill="1" applyBorder="1"/>
    <xf numFmtId="2" fontId="0" fillId="0" borderId="18" xfId="0" applyNumberFormat="1" applyBorder="1"/>
    <xf numFmtId="9" fontId="6" fillId="3" borderId="7" xfId="2" applyFont="1" applyFill="1" applyBorder="1"/>
    <xf numFmtId="0" fontId="1" fillId="2" borderId="1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5" borderId="12" xfId="0" quotePrefix="1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8" borderId="11" xfId="0" applyFont="1" applyFill="1" applyBorder="1"/>
    <xf numFmtId="2" fontId="0" fillId="8" borderId="12" xfId="0" applyNumberFormat="1" applyFill="1" applyBorder="1"/>
    <xf numFmtId="0" fontId="0" fillId="8" borderId="12" xfId="0" applyFill="1" applyBorder="1"/>
    <xf numFmtId="0" fontId="0" fillId="8" borderId="13" xfId="0" applyFill="1" applyBorder="1"/>
    <xf numFmtId="9" fontId="0" fillId="8" borderId="7" xfId="2" applyFont="1" applyFill="1" applyBorder="1"/>
    <xf numFmtId="9" fontId="4" fillId="8" borderId="7" xfId="2" applyFont="1" applyFill="1" applyBorder="1"/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8C6BFA0E-A8EB-4911-8F40-CC9D712D1DA6}"/>
    <cellStyle name="Percent" xfId="2" builtinId="5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</dxf>
    <dxf>
      <numFmt numFmtId="13" formatCode="0%"/>
    </dxf>
    <dxf>
      <numFmt numFmtId="164" formatCode="0.0%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00000000-0011-0000-FFFF-FFFF00000000}">
      <tableStyleElement type="wholeTable" size="0" dxfId="38"/>
      <tableStyleElement type="headerRow" dxfId="37"/>
      <tableStyleElement type="firstRowStripe" dxfId="36"/>
      <tableStyleElement type="secondRowStripe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[Questionnaire Responses (Group 1).xlsx]Field of Work!PivotTable4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'Field of Work'!$B$3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AC-4362-805F-46FD568179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AC-4362-805F-46FD568179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AC-4362-805F-46FD568179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AC-4362-805F-46FD568179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AC-4362-805F-46FD568179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AC-4362-805F-46FD568179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'Field of Work'!$A$4:$A$10</c:f>
              <c:strCache>
                <c:ptCount val="6"/>
                <c:pt idx="0">
                  <c:v>Architectural design</c:v>
                </c:pt>
                <c:pt idx="1">
                  <c:v>Primary field of work</c:v>
                </c:pt>
                <c:pt idx="2">
                  <c:v>Research</c:v>
                </c:pt>
                <c:pt idx="3">
                  <c:v>Teaching</c:v>
                </c:pt>
                <c:pt idx="4">
                  <c:v>Universal design</c:v>
                </c:pt>
                <c:pt idx="5">
                  <c:v>Urban Design </c:v>
                </c:pt>
              </c:strCache>
            </c:strRef>
          </c:cat>
          <c:val>
            <c:numRef>
              <c:f>'Field of Work'!$B$4:$B$10</c:f>
              <c:numCache>
                <c:formatCode>0.00%</c:formatCode>
                <c:ptCount val="6"/>
                <c:pt idx="0">
                  <c:v>0.5</c:v>
                </c:pt>
                <c:pt idx="1">
                  <c:v>3.125E-2</c:v>
                </c:pt>
                <c:pt idx="2">
                  <c:v>9.375E-2</c:v>
                </c:pt>
                <c:pt idx="3">
                  <c:v>0.3125</c:v>
                </c:pt>
                <c:pt idx="4">
                  <c:v>3.125E-2</c:v>
                </c:pt>
                <c:pt idx="5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6-4B83-B64A-1B233B2A21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[Questionnaire Responses (Group 1).xlsx]Sheet4!PivotTable5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AB-4374-A801-29AFA5B203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AB-4374-A801-29AFA5B203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AB-4374-A801-29AFA5B203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+14</c:v>
                </c:pt>
                <c:pt idx="1">
                  <c:v>10-14</c:v>
                </c:pt>
                <c:pt idx="2">
                  <c:v>5-9</c:v>
                </c:pt>
              </c:strCache>
            </c:strRef>
          </c:cat>
          <c:val>
            <c:numRef>
              <c:f>Sheet4!$B$4:$B$7</c:f>
              <c:numCache>
                <c:formatCode>0.0%</c:formatCode>
                <c:ptCount val="3"/>
                <c:pt idx="0">
                  <c:v>0.5161290322580645</c:v>
                </c:pt>
                <c:pt idx="1">
                  <c:v>9.6774193548387094E-2</c:v>
                </c:pt>
                <c:pt idx="2">
                  <c:v>0.38709677419354838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8-4924-A35D-4B5A534942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[Questionnaire Responses (Group 1).xlsx]Sheet5!PivotTable6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C0-4525-A3F3-10F48C0331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C0-4525-A3F3-10F48C0331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C0-4525-A3F3-10F48C0331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C0-4525-A3F3-10F48C0331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C0-4525-A3F3-10F48C0331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Sheet5!$A$4:$A$9</c:f>
              <c:strCache>
                <c:ptCount val="5"/>
                <c:pt idx="0">
                  <c:v>Architectural design</c:v>
                </c:pt>
                <c:pt idx="1">
                  <c:v>Research</c:v>
                </c:pt>
                <c:pt idx="2">
                  <c:v>Teaching</c:v>
                </c:pt>
                <c:pt idx="3">
                  <c:v>Universal design</c:v>
                </c:pt>
                <c:pt idx="4">
                  <c:v>Urban Design </c:v>
                </c:pt>
              </c:strCache>
            </c:strRef>
          </c:cat>
          <c:val>
            <c:numRef>
              <c:f>Sheet5!$B$4:$B$9</c:f>
              <c:numCache>
                <c:formatCode>0%</c:formatCode>
                <c:ptCount val="5"/>
                <c:pt idx="0">
                  <c:v>0.5161290322580645</c:v>
                </c:pt>
                <c:pt idx="1">
                  <c:v>9.6774193548387094E-2</c:v>
                </c:pt>
                <c:pt idx="2">
                  <c:v>0.32258064516129031</c:v>
                </c:pt>
                <c:pt idx="3">
                  <c:v>3.2258064516129031E-2</c:v>
                </c:pt>
                <c:pt idx="4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02-46CF-A22A-9284CB6621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8-4F08-9581-62D3F806D6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8-4F08-9581-62D3F806D6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68-4F08-9581-62D3F806D6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68-4F08-9581-62D3F806D6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68-4F08-9581-62D3F806D6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Sheet6!$F$11:$F$15</c:f>
              <c:strCache>
                <c:ptCount val="5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Fair</c:v>
                </c:pt>
                <c:pt idx="4">
                  <c:v>Below average</c:v>
                </c:pt>
              </c:strCache>
            </c:strRef>
          </c:cat>
          <c:val>
            <c:numRef>
              <c:f>Sheet6!$G$11:$G$15</c:f>
              <c:numCache>
                <c:formatCode>0.0%</c:formatCode>
                <c:ptCount val="5"/>
                <c:pt idx="0">
                  <c:v>0.32258064516129031</c:v>
                </c:pt>
                <c:pt idx="1">
                  <c:v>0.41935483870967744</c:v>
                </c:pt>
                <c:pt idx="2">
                  <c:v>0.16129032258064516</c:v>
                </c:pt>
                <c:pt idx="3">
                  <c:v>6.4516129032258063E-2</c:v>
                </c:pt>
                <c:pt idx="4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7-4B6B-9083-55F19B5946B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C9C140D-0B1A-45BE-A4FD-83C0CF9A37B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C7A-429D-B18E-4710481D37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0C7C93-797C-4ED0-B2D5-BB3A939F701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C7A-429D-B18E-4710481D37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DB92CEB-FC57-41FF-8AC9-29D8CC76FCC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C7A-429D-B18E-4710481D377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BF1A864-9341-449F-825D-FA505F1E1DE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C7A-429D-B18E-4710481D377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9B345A-3512-44B7-B40A-DEDB26A655B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C7A-429D-B18E-4710481D377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CCA3219-8CF0-420C-9ECC-674206A3825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7A-429D-B18E-4710481D377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0B32017-FABE-40FD-9203-0CF21C037EA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C7A-429D-B18E-4710481D37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Sheet1!$B$3:$B$9</c:f>
              <c:numCache>
                <c:formatCode>General</c:formatCode>
                <c:ptCount val="7"/>
                <c:pt idx="0">
                  <c:v>7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Sheet1!$C$3:$C$9</c:f>
              <c:numCache>
                <c:formatCode>General</c:formatCode>
                <c:ptCount val="7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4.5</c:v>
                </c:pt>
                <c:pt idx="6">
                  <c:v>4.5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Sheet1!$A$3:$A$9</c15:f>
                <c15:dlblRangeCache>
                  <c:ptCount val="7"/>
                  <c:pt idx="0">
                    <c:v>R1</c:v>
                  </c:pt>
                  <c:pt idx="1">
                    <c:v>R2</c:v>
                  </c:pt>
                  <c:pt idx="2">
                    <c:v>R3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  <c:pt idx="6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FE7-48FA-8F9F-164AF6083961}"/>
            </c:ext>
          </c:extLst>
        </c:ser>
        <c:ser>
          <c:idx val="1"/>
          <c:order val="1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Sheet1!$E$3:$E$9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Sheet1!$F$3:$F$9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0-4141-ABD0-819DF5F13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61551"/>
        <c:axId val="1120672591"/>
      </c:scatterChart>
      <c:valAx>
        <c:axId val="112066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Median expert visual assessment scores of facade regularity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72591"/>
        <c:crosses val="autoZero"/>
        <c:crossBetween val="midCat"/>
      </c:valAx>
      <c:valAx>
        <c:axId val="11206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BIM-based façade regularity evaluation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6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F987647-F985-448C-A0E6-FAD68DAC33F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E4C-4A4A-A977-84CB6A94B9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86983AD-7591-40AD-A2ED-EC9309B369A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E4C-4A4A-A977-84CB6A94B9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2B9921D-FE63-4EDA-96F0-325A0C91B46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E4C-4A4A-A977-84CB6A94B9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542A9F-4009-4D6A-9876-2919F14FB6D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4C-4A4A-A977-84CB6A94B9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6FB56DB-2F49-4BDB-96D0-60BEEBA5451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4C-4A4A-A977-84CB6A94B9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0A90305-D12A-4555-BE0E-043ED641745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4C-4A4A-A977-84CB6A94B9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5281DD6-DA25-469E-8368-BCF2629170F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4C-4A4A-A977-84CB6A94B9C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53C3184-ED78-4536-A9DF-DC105C1156E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4C-4A4A-A977-84CB6A94B9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Sheet1!$B$10:$B$17</c:f>
              <c:numCache>
                <c:formatCode>General</c:formatCode>
                <c:ptCount val="8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Sheet1!$C$10:$C$17</c:f>
              <c:numCache>
                <c:formatCode>General</c:formatCode>
                <c:ptCount val="8"/>
                <c:pt idx="0">
                  <c:v>1</c:v>
                </c:pt>
                <c:pt idx="1">
                  <c:v>6.5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Sheet1!$A$10:$A$17</c15:f>
                <c15:dlblRangeCache>
                  <c:ptCount val="8"/>
                  <c:pt idx="0">
                    <c:v>B1</c:v>
                  </c:pt>
                  <c:pt idx="1">
                    <c:v>B2</c:v>
                  </c:pt>
                  <c:pt idx="2">
                    <c:v>B3</c:v>
                  </c:pt>
                  <c:pt idx="3">
                    <c:v>B4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D9A-44D9-BE02-42017ECFE7DA}"/>
            </c:ext>
          </c:extLst>
        </c:ser>
        <c:ser>
          <c:idx val="1"/>
          <c:order val="1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Sheet1!$E$3:$E$10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Sheet1!$F$3:$F$10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E4C-4A4A-A977-84CB6A94B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90831"/>
        <c:axId val="1120687951"/>
      </c:scatterChart>
      <c:valAx>
        <c:axId val="112069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87951"/>
        <c:crosses val="autoZero"/>
        <c:crossBetween val="midCat"/>
        <c:majorUnit val="1"/>
      </c:valAx>
      <c:valAx>
        <c:axId val="11206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balance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9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32A957-D792-4633-B3B9-D8BC55FB7DD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FF7-4177-9397-168168A8C3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D8A186F-A2AE-4DC9-A091-D5648D2E544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FF7-4177-9397-168168A8C3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E7A077A-AAB1-4ECC-861C-6D73BAFFD9A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FF7-4177-9397-168168A8C3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17B5E3A-CA04-4C55-8CD2-887676D51A3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FF7-4177-9397-168168A8C3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71CFB58-2A74-405A-B2B2-F66B5A7F90B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FF7-4177-9397-168168A8C3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CEDBDD4-925D-481A-B13B-697882FB173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FF7-4177-9397-168168A8C3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F0DEF28-5575-4008-8918-3717D6EAB86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FF7-4177-9397-168168A8C3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54D6CF6-BDCC-49B6-A67A-16A03AE9C9B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FF7-4177-9397-168168A8C3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Sheet1!$B$18:$B$25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  <c:pt idx="6">
                  <c:v>4</c:v>
                </c:pt>
                <c:pt idx="7">
                  <c:v>3</c:v>
                </c:pt>
              </c:numCache>
            </c:numRef>
          </c:xVal>
          <c:yVal>
            <c:numRef>
              <c:f>Sheet1!$C$18:$C$25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3.5</c:v>
                </c:pt>
                <c:pt idx="7">
                  <c:v>3.5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Sheet1!$A$18:$A$25</c15:f>
                <c15:dlblRangeCache>
                  <c:ptCount val="8"/>
                  <c:pt idx="0">
                    <c:v>D1</c:v>
                  </c:pt>
                  <c:pt idx="1">
                    <c:v>D2</c:v>
                  </c:pt>
                  <c:pt idx="2">
                    <c:v>D3</c:v>
                  </c:pt>
                  <c:pt idx="3">
                    <c:v>D4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BBD-4B7D-A4E4-D9C705E6E045}"/>
            </c:ext>
          </c:extLst>
        </c:ser>
        <c:ser>
          <c:idx val="1"/>
          <c:order val="1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Sheet1!$E$3:$E$10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Sheet1!$F$3:$F$10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FF7-4177-9397-168168A8C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082927"/>
        <c:axId val="1346080047"/>
      </c:scatterChart>
      <c:valAx>
        <c:axId val="13460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diversity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080047"/>
        <c:crosses val="autoZero"/>
        <c:crossBetween val="midCat"/>
        <c:majorUnit val="1"/>
      </c:valAx>
      <c:valAx>
        <c:axId val="134608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diversity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08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231DD84-0BDC-48DA-807B-A313F306C7F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AB7-464F-99AA-8FC27985FAA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FC02BAB-E617-4A6A-A78C-A6311A6861C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AB7-464F-99AA-8FC27985FAA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E5CBC68-4DDC-4A85-84BE-ABF02E6061A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AB7-464F-99AA-8FC27985FAA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E88FC0-25E2-453B-A38B-95405F11BED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AB7-464F-99AA-8FC27985FAA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69DC03-3E01-4D36-9B76-B5F58FAB65C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B7-464F-99AA-8FC27985FAA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7CA833-B4AF-4F01-A99E-027D581876A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AB7-464F-99AA-8FC27985FAA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758B25C-B8CA-4E74-BC81-16D67055FA4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AB7-464F-99AA-8FC27985FAA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652D48A-AEF8-48ED-9412-EBFCEB3FECB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AB7-464F-99AA-8FC27985FA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Sheet1!$B$26:$B$33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4</c:v>
                </c:pt>
                <c:pt idx="7">
                  <c:v>3</c:v>
                </c:pt>
              </c:numCache>
            </c:numRef>
          </c:xVal>
          <c:yVal>
            <c:numRef>
              <c:f>Sheet1!$C$26:$C$33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3.5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7</c:v>
                </c:pt>
                <c:pt idx="7">
                  <c:v>3.5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Sheet1!$A$26:$A$33</c15:f>
                <c15:dlblRangeCache>
                  <c:ptCount val="8"/>
                  <c:pt idx="0">
                    <c:v>C1</c:v>
                  </c:pt>
                  <c:pt idx="1">
                    <c:v>C2</c:v>
                  </c:pt>
                  <c:pt idx="2">
                    <c:v>C3</c:v>
                  </c:pt>
                  <c:pt idx="3">
                    <c:v>C4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954-4E8F-8256-292183270AE6}"/>
            </c:ext>
          </c:extLst>
        </c:ser>
        <c:ser>
          <c:idx val="1"/>
          <c:order val="1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Sheet1!$E$3:$E$10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Sheet1!$F$3:$F$10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AB7-464F-99AA-8FC27985F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43311"/>
        <c:axId val="1120646671"/>
      </c:scatterChart>
      <c:valAx>
        <c:axId val="112064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complexity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6671"/>
        <c:crosses val="autoZero"/>
        <c:crossBetween val="midCat"/>
        <c:majorUnit val="1"/>
      </c:valAx>
      <c:valAx>
        <c:axId val="112064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complexity 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34CB7E0-1D5B-4467-9167-6A239CC4FB0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C4D-4FD3-84B2-E285D60376EB}"/>
                </c:ext>
              </c:extLst>
            </c:dLbl>
            <c:dLbl>
              <c:idx val="1"/>
              <c:layout>
                <c:manualLayout>
                  <c:x val="5.5472577218811285E-3"/>
                  <c:y val="6.2537002322315932E-2"/>
                </c:manualLayout>
              </c:layout>
              <c:tx>
                <c:rich>
                  <a:bodyPr/>
                  <a:lstStyle/>
                  <a:p>
                    <a:fld id="{C1A38883-5AF8-4212-9A88-321106960EE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C4D-4FD3-84B2-E285D60376E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A06A68-8042-4B1E-9B15-02D4F4AE589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C4D-4FD3-84B2-E285D60376EB}"/>
                </c:ext>
              </c:extLst>
            </c:dLbl>
            <c:dLbl>
              <c:idx val="3"/>
              <c:layout>
                <c:manualLayout>
                  <c:x val="-6.9340721523512838E-2"/>
                  <c:y val="-3.3673770481247041E-2"/>
                </c:manualLayout>
              </c:layout>
              <c:tx>
                <c:rich>
                  <a:bodyPr/>
                  <a:lstStyle/>
                  <a:p>
                    <a:fld id="{30FC51AB-EEA4-458B-B243-E9034DA817F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C4D-4FD3-84B2-E285D60376EB}"/>
                </c:ext>
              </c:extLst>
            </c:dLbl>
            <c:dLbl>
              <c:idx val="4"/>
              <c:layout>
                <c:manualLayout>
                  <c:x val="-0.1220396698813826"/>
                  <c:y val="4.329484776160334E-2"/>
                </c:manualLayout>
              </c:layout>
              <c:tx>
                <c:rich>
                  <a:bodyPr/>
                  <a:lstStyle/>
                  <a:p>
                    <a:fld id="{2A68D224-1194-4334-9C5B-9C28642063D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C4D-4FD3-84B2-E285D60376EB}"/>
                </c:ext>
              </c:extLst>
            </c:dLbl>
            <c:dLbl>
              <c:idx val="5"/>
              <c:layout>
                <c:manualLayout>
                  <c:x val="-0.12758692760326362"/>
                  <c:y val="-3.8484309121425191E-2"/>
                </c:manualLayout>
              </c:layout>
              <c:tx>
                <c:rich>
                  <a:bodyPr/>
                  <a:lstStyle/>
                  <a:p>
                    <a:fld id="{BFCF1E41-8BC0-4B62-8C30-EB8850CC653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C4D-4FD3-84B2-E285D60376EB}"/>
                </c:ext>
              </c:extLst>
            </c:dLbl>
            <c:dLbl>
              <c:idx val="6"/>
              <c:layout>
                <c:manualLayout>
                  <c:x val="2.2189030887524209E-2"/>
                  <c:y val="0.14431615920534446"/>
                </c:manualLayout>
              </c:layout>
              <c:tx>
                <c:rich>
                  <a:bodyPr/>
                  <a:lstStyle/>
                  <a:p>
                    <a:fld id="{D4ED6F76-0FC6-4AAD-8A8C-92FFDADFA17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C4D-4FD3-84B2-E285D60376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Pearson!$B$3:$B$9</c:f>
              <c:numCache>
                <c:formatCode>0%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0.3</c:v>
                </c:pt>
                <c:pt idx="3">
                  <c:v>0.9</c:v>
                </c:pt>
                <c:pt idx="4">
                  <c:v>0.8</c:v>
                </c:pt>
                <c:pt idx="5">
                  <c:v>0.8</c:v>
                </c:pt>
                <c:pt idx="6">
                  <c:v>0.9</c:v>
                </c:pt>
              </c:numCache>
            </c:numRef>
          </c:xVal>
          <c:yVal>
            <c:numRef>
              <c:f>Pearson!$C$3:$C$9</c:f>
              <c:numCache>
                <c:formatCode>0%</c:formatCode>
                <c:ptCount val="7"/>
                <c:pt idx="0">
                  <c:v>1</c:v>
                </c:pt>
                <c:pt idx="1">
                  <c:v>0.96</c:v>
                </c:pt>
                <c:pt idx="2">
                  <c:v>0.91</c:v>
                </c:pt>
                <c:pt idx="3">
                  <c:v>0.98</c:v>
                </c:pt>
                <c:pt idx="4">
                  <c:v>0.9</c:v>
                </c:pt>
                <c:pt idx="5">
                  <c:v>0.97</c:v>
                </c:pt>
                <c:pt idx="6">
                  <c:v>0.97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Pearson!$A$3:$A$9</c15:f>
                <c15:dlblRangeCache>
                  <c:ptCount val="7"/>
                  <c:pt idx="0">
                    <c:v>R1</c:v>
                  </c:pt>
                  <c:pt idx="1">
                    <c:v>R2</c:v>
                  </c:pt>
                  <c:pt idx="2">
                    <c:v>R3</c:v>
                  </c:pt>
                  <c:pt idx="3">
                    <c:v>CS1</c:v>
                  </c:pt>
                  <c:pt idx="4">
                    <c:v>CS2</c:v>
                  </c:pt>
                  <c:pt idx="5">
                    <c:v>CS3</c:v>
                  </c:pt>
                  <c:pt idx="6">
                    <c:v>CS4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1C4D-4FD3-84B2-E285D60376EB}"/>
            </c:ext>
          </c:extLst>
        </c:ser>
        <c:ser>
          <c:idx val="1"/>
          <c:order val="1"/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Pearson!$E$3:$E$13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Pearson!$F$3:$F$13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C4D-4FD3-84B2-E285D6037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61551"/>
        <c:axId val="1120672591"/>
      </c:scatterChart>
      <c:valAx>
        <c:axId val="11206615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Median expert visual assessment scores of facade regularity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72591"/>
        <c:crosses val="autoZero"/>
        <c:crossBetween val="midCat"/>
        <c:majorUnit val="0.1"/>
      </c:valAx>
      <c:valAx>
        <c:axId val="1120672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BIM-based façade regularity evaluation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6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1C6AF3E-7D22-454A-80CE-4C0396BDB9E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DD6-4220-8F31-4701FC1370B5}"/>
                </c:ext>
              </c:extLst>
            </c:dLbl>
            <c:dLbl>
              <c:idx val="1"/>
              <c:layout>
                <c:manualLayout>
                  <c:x val="0"/>
                  <c:y val="0.10591585944048074"/>
                </c:manualLayout>
              </c:layout>
              <c:tx>
                <c:rich>
                  <a:bodyPr/>
                  <a:lstStyle/>
                  <a:p>
                    <a:fld id="{660EEA08-D10F-41EA-8D75-3358053D742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DD6-4220-8F31-4701FC1370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DEFF02-903E-4CA6-8207-056BD69A807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DD6-4220-8F31-4701FC1370B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A058F4-5EC3-451F-A602-E4DD73A7900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DD6-4220-8F31-4701FC1370B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0D7AC5B-165B-42D6-8B93-080BBDD5EB1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DD6-4220-8F31-4701FC1370B5}"/>
                </c:ext>
              </c:extLst>
            </c:dLbl>
            <c:dLbl>
              <c:idx val="5"/>
              <c:layout>
                <c:manualLayout>
                  <c:x val="-0.1220396698813826"/>
                  <c:y val="-4.8143572472945807E-3"/>
                </c:manualLayout>
              </c:layout>
              <c:tx>
                <c:rich>
                  <a:bodyPr/>
                  <a:lstStyle/>
                  <a:p>
                    <a:fld id="{AF1D880B-4082-4E02-82BC-8E556D3EC22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DD6-4220-8F31-4701FC1370B5}"/>
                </c:ext>
              </c:extLst>
            </c:dLbl>
            <c:dLbl>
              <c:idx val="6"/>
              <c:layout>
                <c:manualLayout>
                  <c:x val="-9.9850638993858487E-2"/>
                  <c:y val="8.6658430451302393E-2"/>
                </c:manualLayout>
              </c:layout>
              <c:tx>
                <c:rich>
                  <a:bodyPr/>
                  <a:lstStyle/>
                  <a:p>
                    <a:fld id="{91B12BCB-4E96-45A8-8B69-C1319560E75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DD6-4220-8F31-4701FC1370B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7DE127B-0AA5-43BC-8980-43CC10CEB33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DD6-4220-8F31-4701FC137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Pearson!$B$10:$B$17</c:f>
              <c:numCache>
                <c:formatCode>0%</c:formatCode>
                <c:ptCount val="8"/>
                <c:pt idx="0">
                  <c:v>0.2</c:v>
                </c:pt>
                <c:pt idx="1">
                  <c:v>0.9</c:v>
                </c:pt>
                <c:pt idx="2">
                  <c:v>0.4</c:v>
                </c:pt>
                <c:pt idx="3">
                  <c:v>0.6</c:v>
                </c:pt>
                <c:pt idx="4">
                  <c:v>0.9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</c:numCache>
            </c:numRef>
          </c:xVal>
          <c:yVal>
            <c:numRef>
              <c:f>Pearson!$C$10:$C$17</c:f>
              <c:numCache>
                <c:formatCode>0%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0.6</c:v>
                </c:pt>
                <c:pt idx="3">
                  <c:v>0.76</c:v>
                </c:pt>
                <c:pt idx="4">
                  <c:v>0.51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Pearson!$A$10:$A$17</c15:f>
                <c15:dlblRangeCache>
                  <c:ptCount val="8"/>
                  <c:pt idx="0">
                    <c:v>B1</c:v>
                  </c:pt>
                  <c:pt idx="1">
                    <c:v>B2</c:v>
                  </c:pt>
                  <c:pt idx="2">
                    <c:v>B3</c:v>
                  </c:pt>
                  <c:pt idx="3">
                    <c:v>B4</c:v>
                  </c:pt>
                  <c:pt idx="4">
                    <c:v>CS1</c:v>
                  </c:pt>
                  <c:pt idx="5">
                    <c:v>CS2</c:v>
                  </c:pt>
                  <c:pt idx="6">
                    <c:v>CS3</c:v>
                  </c:pt>
                  <c:pt idx="7">
                    <c:v>CS4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2DD6-4220-8F31-4701FC1370B5}"/>
            </c:ext>
          </c:extLst>
        </c:ser>
        <c:ser>
          <c:idx val="1"/>
          <c:order val="1"/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Pearson!$E$3:$E$13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Pearson!$F$3:$F$13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DD6-4220-8F31-4701FC137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90831"/>
        <c:axId val="1120687951"/>
      </c:scatterChart>
      <c:valAx>
        <c:axId val="112069083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87951"/>
        <c:crosses val="autoZero"/>
        <c:crossBetween val="midCat"/>
        <c:majorUnit val="0.1"/>
      </c:valAx>
      <c:valAx>
        <c:axId val="11206879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balance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9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52D0329-5E23-46B8-BC52-3170DCD7812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32D-477E-8381-A2247E4BB8E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160E27B-7DF0-4789-8154-56A7AC98FD0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32D-477E-8381-A2247E4BB8E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617F7D-0961-46E0-A73A-2D38CD96FA3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32D-477E-8381-A2247E4BB8E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E23C28-9F80-4BB6-8551-59D98895C67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32D-477E-8381-A2247E4BB8E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34469AC-88BD-448C-BD4E-941C89DE03E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32D-477E-8381-A2247E4BB8E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9CE00BB-38D5-45CE-8932-94709139207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32D-477E-8381-A2247E4BB8EC}"/>
                </c:ext>
              </c:extLst>
            </c:dLbl>
            <c:dLbl>
              <c:idx val="6"/>
              <c:layout>
                <c:manualLayout>
                  <c:x val="5.5460755510866704E-2"/>
                  <c:y val="1.4443066266759263E-2"/>
                </c:manualLayout>
              </c:layout>
              <c:tx>
                <c:rich>
                  <a:bodyPr/>
                  <a:lstStyle/>
                  <a:p>
                    <a:fld id="{FA967199-ABD7-4891-B35F-2E7F6A1017F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32D-477E-8381-A2247E4BB8EC}"/>
                </c:ext>
              </c:extLst>
            </c:dLbl>
            <c:dLbl>
              <c:idx val="7"/>
              <c:layout>
                <c:manualLayout>
                  <c:x val="1.6638226653260011E-2"/>
                  <c:y val="7.2215331333796234E-2"/>
                </c:manualLayout>
              </c:layout>
              <c:tx>
                <c:rich>
                  <a:bodyPr/>
                  <a:lstStyle/>
                  <a:p>
                    <a:fld id="{D8551FB7-73A9-4EB6-8706-49BE230CCE5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32D-477E-8381-A2247E4BB8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Pearson!$B$18:$B$25</c:f>
              <c:numCache>
                <c:formatCode>0%</c:formatCode>
                <c:ptCount val="8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0.8</c:v>
                </c:pt>
                <c:pt idx="4">
                  <c:v>0.5</c:v>
                </c:pt>
                <c:pt idx="5">
                  <c:v>0.9</c:v>
                </c:pt>
                <c:pt idx="6">
                  <c:v>0.5</c:v>
                </c:pt>
                <c:pt idx="7">
                  <c:v>0.5</c:v>
                </c:pt>
              </c:numCache>
            </c:numRef>
          </c:xVal>
          <c:yVal>
            <c:numRef>
              <c:f>Pearson!$C$18:$C$25</c:f>
              <c:numCache>
                <c:formatCode>0%</c:formatCode>
                <c:ptCount val="8"/>
                <c:pt idx="0">
                  <c:v>0.05</c:v>
                </c:pt>
                <c:pt idx="1">
                  <c:v>0.08</c:v>
                </c:pt>
                <c:pt idx="2">
                  <c:v>0.25</c:v>
                </c:pt>
                <c:pt idx="3">
                  <c:v>0.47</c:v>
                </c:pt>
                <c:pt idx="4">
                  <c:v>0.35</c:v>
                </c:pt>
                <c:pt idx="5">
                  <c:v>0.66</c:v>
                </c:pt>
                <c:pt idx="6">
                  <c:v>0.19</c:v>
                </c:pt>
                <c:pt idx="7">
                  <c:v>0.19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Pearson!$A$18:$A$25</c15:f>
                <c15:dlblRangeCache>
                  <c:ptCount val="8"/>
                  <c:pt idx="0">
                    <c:v>D1</c:v>
                  </c:pt>
                  <c:pt idx="1">
                    <c:v>D2</c:v>
                  </c:pt>
                  <c:pt idx="2">
                    <c:v>D3</c:v>
                  </c:pt>
                  <c:pt idx="3">
                    <c:v>D4</c:v>
                  </c:pt>
                  <c:pt idx="4">
                    <c:v>CS1</c:v>
                  </c:pt>
                  <c:pt idx="5">
                    <c:v>CS2</c:v>
                  </c:pt>
                  <c:pt idx="6">
                    <c:v>CS3</c:v>
                  </c:pt>
                  <c:pt idx="7">
                    <c:v>CS4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A32D-477E-8381-A2247E4BB8EC}"/>
            </c:ext>
          </c:extLst>
        </c:ser>
        <c:ser>
          <c:idx val="1"/>
          <c:order val="1"/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Pearson!$E$3:$E$13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Pearson!$F$3:$F$13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32D-477E-8381-A2247E4BB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082927"/>
        <c:axId val="1346080047"/>
      </c:scatterChart>
      <c:valAx>
        <c:axId val="134608292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diversity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080047"/>
        <c:crosses val="autoZero"/>
        <c:crossBetween val="midCat"/>
        <c:majorUnit val="0.1"/>
      </c:valAx>
      <c:valAx>
        <c:axId val="13460800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diversity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08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972D840-2374-4472-A120-9672FFB8A72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4FE-48E7-91D2-013C1C10622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DD40EA5-2468-417A-B6C8-2DF8C56EE34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4FE-48E7-91D2-013C1C10622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A007FC-7A4F-4487-BB87-98AB8BB7547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4FE-48E7-91D2-013C1C10622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A16FA2D-1D9D-4180-8BA3-B4EB2B8B9BC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4FE-48E7-91D2-013C1C10622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20F7EBC-4559-4ED9-9044-4AC8B5B0439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4FE-48E7-91D2-013C1C10622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1F1432E-6451-4EEB-89BE-D1611F8156E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4FE-48E7-91D2-013C1C10622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ED7D292-CC20-4226-83E2-1AFAD836486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4FE-48E7-91D2-013C1C10622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8911410-47BA-4E32-B26E-BBE4600D3E6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4FE-48E7-91D2-013C1C1062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Pearson!$B$26:$B$33</c:f>
              <c:numCache>
                <c:formatCode>0%</c:formatCode>
                <c:ptCount val="8"/>
                <c:pt idx="0">
                  <c:v>0.1</c:v>
                </c:pt>
                <c:pt idx="1">
                  <c:v>0.3</c:v>
                </c:pt>
                <c:pt idx="2">
                  <c:v>0.4</c:v>
                </c:pt>
                <c:pt idx="3">
                  <c:v>0.7</c:v>
                </c:pt>
                <c:pt idx="4">
                  <c:v>0.5</c:v>
                </c:pt>
                <c:pt idx="5">
                  <c:v>0.8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Pearson!$C$26:$C$33</c:f>
              <c:numCache>
                <c:formatCode>0%</c:formatCode>
                <c:ptCount val="8"/>
                <c:pt idx="0">
                  <c:v>0.03</c:v>
                </c:pt>
                <c:pt idx="1">
                  <c:v>0.09</c:v>
                </c:pt>
                <c:pt idx="2">
                  <c:v>0.21</c:v>
                </c:pt>
                <c:pt idx="3">
                  <c:v>0.22</c:v>
                </c:pt>
                <c:pt idx="4">
                  <c:v>0.28999999999999998</c:v>
                </c:pt>
                <c:pt idx="5">
                  <c:v>0.49</c:v>
                </c:pt>
                <c:pt idx="6">
                  <c:v>0.31</c:v>
                </c:pt>
                <c:pt idx="7">
                  <c:v>0.21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Pearson!$A$26:$A$33</c15:f>
                <c15:dlblRangeCache>
                  <c:ptCount val="8"/>
                  <c:pt idx="0">
                    <c:v>C1</c:v>
                  </c:pt>
                  <c:pt idx="1">
                    <c:v>C2</c:v>
                  </c:pt>
                  <c:pt idx="2">
                    <c:v>C3</c:v>
                  </c:pt>
                  <c:pt idx="3">
                    <c:v>C4</c:v>
                  </c:pt>
                  <c:pt idx="4">
                    <c:v>CS1</c:v>
                  </c:pt>
                  <c:pt idx="5">
                    <c:v>CS2</c:v>
                  </c:pt>
                  <c:pt idx="6">
                    <c:v>CS3</c:v>
                  </c:pt>
                  <c:pt idx="7">
                    <c:v>CS4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B4FE-48E7-91D2-013C1C10622E}"/>
            </c:ext>
          </c:extLst>
        </c:ser>
        <c:ser>
          <c:idx val="1"/>
          <c:order val="1"/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Pearson!$E$3:$E$13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Pearson!$F$3:$F$13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4FE-48E7-91D2-013C1C106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43311"/>
        <c:axId val="1120646671"/>
      </c:scatterChart>
      <c:valAx>
        <c:axId val="11206433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Median expert visual assessment scores of facade complexity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6671"/>
        <c:crosses val="autoZero"/>
        <c:crossBetween val="midCat"/>
        <c:majorUnit val="0.1"/>
      </c:valAx>
      <c:valAx>
        <c:axId val="11206466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BIM-based façade complexity  evaluation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156210</xdr:rowOff>
    </xdr:from>
    <xdr:to>
      <xdr:col>10</xdr:col>
      <xdr:colOff>457200</xdr:colOff>
      <xdr:row>22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FFC792-E6F9-122D-6F36-23A9A7B4F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7</xdr:row>
      <xdr:rowOff>11430</xdr:rowOff>
    </xdr:from>
    <xdr:to>
      <xdr:col>11</xdr:col>
      <xdr:colOff>289560</xdr:colOff>
      <xdr:row>23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6EADA-5DB9-B723-D0E6-C3F0AD66D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7</xdr:row>
      <xdr:rowOff>11430</xdr:rowOff>
    </xdr:from>
    <xdr:to>
      <xdr:col>11</xdr:col>
      <xdr:colOff>220980</xdr:colOff>
      <xdr:row>23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E0437-BE81-2B97-E858-3749D437E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807720</xdr:colOff>
      <xdr:row>7</xdr:row>
      <xdr:rowOff>41910</xdr:rowOff>
    </xdr:from>
    <xdr:to>
      <xdr:col>13</xdr:col>
      <xdr:colOff>236220</xdr:colOff>
      <xdr:row>23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818E9-1ED0-3DD2-804D-58FF01CC8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165463</xdr:colOff>
      <xdr:row>1</xdr:row>
      <xdr:rowOff>87630</xdr:rowOff>
    </xdr:from>
    <xdr:to>
      <xdr:col>15</xdr:col>
      <xdr:colOff>470263</xdr:colOff>
      <xdr:row>17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CD90DD-2458-E094-FC27-0D5D260CB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165463</xdr:colOff>
      <xdr:row>18</xdr:row>
      <xdr:rowOff>102870</xdr:rowOff>
    </xdr:from>
    <xdr:to>
      <xdr:col>15</xdr:col>
      <xdr:colOff>470263</xdr:colOff>
      <xdr:row>35</xdr:row>
      <xdr:rowOff>544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27492E-1F79-AA27-5F86-D791823A3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576943</xdr:colOff>
      <xdr:row>1</xdr:row>
      <xdr:rowOff>102870</xdr:rowOff>
    </xdr:from>
    <xdr:to>
      <xdr:col>23</xdr:col>
      <xdr:colOff>272143</xdr:colOff>
      <xdr:row>18</xdr:row>
      <xdr:rowOff>544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DD2793-2BF1-BDEC-E297-70A7ED7CB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584563</xdr:colOff>
      <xdr:row>18</xdr:row>
      <xdr:rowOff>87630</xdr:rowOff>
    </xdr:from>
    <xdr:to>
      <xdr:col>23</xdr:col>
      <xdr:colOff>279763</xdr:colOff>
      <xdr:row>34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7A828F-60B6-222A-C8A3-49BF05360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165463</xdr:colOff>
      <xdr:row>1</xdr:row>
      <xdr:rowOff>87630</xdr:rowOff>
    </xdr:from>
    <xdr:to>
      <xdr:col>15</xdr:col>
      <xdr:colOff>470263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58AE1-1E1A-426F-96CF-839F936DE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165463</xdr:colOff>
      <xdr:row>18</xdr:row>
      <xdr:rowOff>102870</xdr:rowOff>
    </xdr:from>
    <xdr:to>
      <xdr:col>15</xdr:col>
      <xdr:colOff>470263</xdr:colOff>
      <xdr:row>35</xdr:row>
      <xdr:rowOff>544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A9540F-E685-4E50-9E64-96B5CB2EF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576943</xdr:colOff>
      <xdr:row>1</xdr:row>
      <xdr:rowOff>102870</xdr:rowOff>
    </xdr:from>
    <xdr:to>
      <xdr:col>23</xdr:col>
      <xdr:colOff>272143</xdr:colOff>
      <xdr:row>18</xdr:row>
      <xdr:rowOff>544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29EA16-3070-495F-B7B8-44590D7DE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584563</xdr:colOff>
      <xdr:row>18</xdr:row>
      <xdr:rowOff>87630</xdr:rowOff>
    </xdr:from>
    <xdr:to>
      <xdr:col>23</xdr:col>
      <xdr:colOff>279763</xdr:colOff>
      <xdr:row>34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23E6A0-BFFB-48CA-8478-9EE540276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6.850919328703" createdVersion="8" refreshedVersion="8" minRefreshableVersion="3" recordCount="37" xr:uid="{16251890-AE55-4787-A448-EF751428DECA}">
  <cacheSource type="worksheet">
    <worksheetSource name="Form_Responses"/>
  </cacheSource>
  <cacheFields count="43">
    <cacheField name="Column1" numFmtId="0">
      <sharedItems containsDate="1" containsBlank="1" containsMixedTypes="1" minDate="2025-11-28T20:14:54" maxDate="2025-12-12T14:29:44" count="33">
        <s v="Timestamp"/>
        <d v="2025-11-29T17:13:15"/>
        <d v="2025-12-04T17:07:16"/>
        <d v="2025-12-04T21:17:13"/>
        <d v="2025-12-05T21:16:51"/>
        <d v="2025-12-07T01:29:01"/>
        <d v="2025-12-07T04:30:43"/>
        <d v="2025-12-12T14:29:44"/>
        <d v="2025-11-28T20:14:54"/>
        <d v="2025-11-28T20:19:09"/>
        <d v="2025-11-28T20:44:08"/>
        <d v="2025-11-28T20:46:01"/>
        <d v="2025-11-28T21:46:51"/>
        <d v="2025-11-28T21:53:46"/>
        <d v="2025-11-28T22:58:54"/>
        <d v="2025-11-29T02:44:09"/>
        <d v="2025-11-29T07:27:22"/>
        <d v="2025-11-29T07:43:24"/>
        <d v="2025-11-29T12:09:29"/>
        <d v="2025-11-29T13:00:38"/>
        <d v="2025-11-29T17:06:21"/>
        <d v="2025-11-29T18:43:46"/>
        <d v="2025-11-30T00:09:55"/>
        <d v="2025-12-01T06:50:36"/>
        <d v="2025-12-01T18:56:41"/>
        <d v="2025-12-01T19:14:27"/>
        <d v="2025-12-01T23:30:32"/>
        <d v="2025-12-03T07:07:23"/>
        <d v="2025-12-06T02:32:15"/>
        <d v="2025-12-06T18:34:35"/>
        <d v="2025-12-06T22:20:02"/>
        <d v="2025-12-08T11:36:18"/>
        <m/>
      </sharedItems>
    </cacheField>
    <cacheField name="Column2" numFmtId="0">
      <sharedItems containsBlank="1"/>
    </cacheField>
    <cacheField name="Column3" numFmtId="0">
      <sharedItems containsBlank="1"/>
    </cacheField>
    <cacheField name="Column4" numFmtId="0">
      <sharedItems containsBlank="1" containsMixedTypes="1" containsNumber="1" minValue="0.34375" maxValue="0.625" count="35">
        <s v="E-mail"/>
        <s v="Luma.a.aldabbagh@uomosul.edu.iq"/>
        <s v="-"/>
        <s v="maelnakeep@yahoo.com"/>
        <s v="eng.sally.hassan87@gmail.com"/>
        <s v="esraaelagha97@gmail.com"/>
        <s v="Engmam9@gmail.com"/>
        <s v="H.helal@criteriadesigngroup"/>
        <s v="personal"/>
        <s v="Husam.bakr@bue.edu.eg"/>
        <s v="agouda@mca.edu.eg"/>
        <s v="asi_arch@yahoo.com"/>
        <s v="Mmmourad2002@yahoo.com"/>
        <s v="Owyes2015@gmail.com"/>
        <s v="arch_amrsayed@yahoo.com"/>
        <s v="engemaa1994@gmail.c9m"/>
        <s v="Hazem.elotefy@aun.edu.eg"/>
        <s v="Rania.rushdy@bue.edu.eg"/>
        <s v="ahmadalquosi@gmail.com"/>
        <s v="engineer.are@gmail.com"/>
        <s v="radwa111hema@gmail.com"/>
        <s v="M.nabil@aun.edu.eg"/>
        <s v="enofal@sharjah.ac.ae"/>
        <s v="sarahali@farts.aun.edu.eg"/>
        <s v="khaled.ali.youssef@aun.edu.eg"/>
        <s v="mariamhassan9713@gmail.com "/>
        <s v="iballam97@gmail.com"/>
        <s v="omarabdellah45@gmail.com"/>
        <s v="abouelhamd@kyudai.jp"/>
        <s v="Islam.abdelkodous@gmail.com"/>
        <s v="abdelrahman_hassan93@yahoo.com"/>
        <s v="Arch. Diaa@yahoo.com"/>
        <n v="0.625"/>
        <n v="0.34375"/>
        <m/>
      </sharedItems>
    </cacheField>
    <cacheField name="Column5" numFmtId="0">
      <sharedItems containsBlank="1" count="31">
        <s v="Affiliation / Organization"/>
        <s v="جامعة الموصل "/>
        <s v="-"/>
        <s v="Elnakeep Construction"/>
        <s v="معهد النيل العالي للهندسه والتكنولوجيا "/>
        <s v="معهد النيل العالى للهندسة والتكنولوجيا "/>
        <s v="وزارة الموارد المائية والري"/>
        <s v="Criteria design group"/>
        <s v="alexandria university  "/>
        <s v="BUE"/>
        <s v="Mansoura higher institute of engineering and technology "/>
        <s v="Sphinx University "/>
        <s v="مدرس بقسم العمارة "/>
        <s v="At home"/>
        <s v="Professor/ Assiut university "/>
        <s v="Aswan university"/>
        <s v="Assiut University "/>
        <s v="The British university in Egypt"/>
        <s v="Niqat"/>
        <s v="ecad consulting engineering"/>
        <s v="Assiut university"/>
        <s v="University of Sharjah"/>
        <s v="Demonstrator, Assiut University"/>
        <s v="Dept. of Arch. Eng."/>
        <s v="Architecture "/>
        <s v="جامعة أسيوط"/>
        <s v="ACC"/>
        <s v="Kyushu University, Fukuoka"/>
        <s v="Saudi gulf group"/>
        <s v="مكتب جسور"/>
        <m/>
      </sharedItems>
    </cacheField>
    <cacheField name="Column6" numFmtId="0">
      <sharedItems containsBlank="1" count="22">
        <s v="Faculty / Institution (if applicable)"/>
        <s v="كلية الهندسة"/>
        <s v="كلية الهندسة جامعة الأزهر "/>
        <s v="كلية الفنون الجميلة - جامعة المنيا"/>
        <s v="الهندسه المعماريه "/>
        <s v="كلية الهندسة جامعة اسيوط "/>
        <s v="جامعة طنطا "/>
        <s v="فنون جميلة"/>
        <s v="faculty of engineering "/>
        <s v="Engineering "/>
        <s v="Aswan university"/>
        <m/>
        <s v="Aswan faculty of engnieering"/>
        <s v="NA"/>
        <s v="6 october universty "/>
        <s v="Engineering"/>
        <s v="Engineering / University of Sharjah"/>
        <s v="Faculty of Fine Arts "/>
        <s v="Faculty of Engineering, Assiut University"/>
        <s v="Assuit university "/>
        <s v="Faculty of Engineering Sciences "/>
        <s v="هندسه"/>
      </sharedItems>
    </cacheField>
    <cacheField name="Column7" numFmtId="0">
      <sharedItems containsBlank="1" count="25">
        <s v="Department (if applicable)"/>
        <s v="العمارة"/>
        <s v="هندسة معمارية "/>
        <s v="قسم العمارة"/>
        <s v="المعماريه "/>
        <s v="قسم الهندسة المعمارية "/>
        <s v="مدني"/>
        <s v="عمارة"/>
        <s v="architectural engineering "/>
        <s v="Architecture "/>
        <s v="Architectural department "/>
        <s v="Architecture Department "/>
        <s v="Architecture"/>
        <s v="Architecture Engineering "/>
        <s v="Architectural department"/>
        <s v="Department of architecture "/>
        <s v="NA"/>
        <s v="architect"/>
        <s v="Architectural Engineering"/>
        <s v="Department of Architecture"/>
        <s v="Dept. of Arch. Eng."/>
        <m/>
        <s v="قسم العمارة "/>
        <s v="Environmental and Energy Engineering "/>
        <s v="عمارة و تصميم داخلي"/>
      </sharedItems>
    </cacheField>
    <cacheField name="Column8" numFmtId="0">
      <sharedItems containsBlank="1" count="7">
        <s v="Primary field of work"/>
        <s v="Teaching"/>
        <s v="Architectural design"/>
        <s v="Urban Design "/>
        <s v="Research"/>
        <s v="Universal design"/>
        <m/>
      </sharedItems>
    </cacheField>
    <cacheField name="Column9" numFmtId="0">
      <sharedItems containsBlank="1" count="5">
        <s v="Years of architectural design experience"/>
        <s v="+14"/>
        <s v="5-9"/>
        <s v="10-14"/>
        <m/>
      </sharedItems>
    </cacheField>
    <cacheField name="Column10" numFmtId="0">
      <sharedItems containsBlank="1" count="24">
        <s v="Country or region of practice"/>
        <s v="العراق / الموصل"/>
        <s v="السعودية "/>
        <s v="القاهرة"/>
        <s v="المنصوره "/>
        <s v="مدينه المنصوره "/>
        <s v="مصر و السعودية "/>
        <s v="مصر"/>
        <s v="EG-KSA"/>
        <s v="Egypt "/>
        <s v="Mansoura , new damietta , Cairo "/>
        <s v="Asuyt"/>
        <s v="اسيوط"/>
        <s v="Eygpt"/>
        <s v="Aswan"/>
        <s v="Assiut and Cairo "/>
        <s v="Egypt"/>
        <s v="KSA - Riyadh"/>
        <s v="Assiut, Egypt"/>
        <s v="Egypt, Saudi Arabia"/>
        <s v="Assuit"/>
        <s v="Saudi Arabia "/>
        <s v="Egypt &amp; Saudi Arabia "/>
        <m/>
      </sharedItems>
    </cacheField>
    <cacheField name="Column11" numFmtId="0">
      <sharedItems containsBlank="1" count="5">
        <s v="Frequency of façade design involvement "/>
        <s v="Always"/>
        <s v="Occasionally"/>
        <s v="Frequently"/>
        <m/>
      </sharedItems>
    </cacheField>
    <cacheField name="Column12" numFmtId="0">
      <sharedItems count="11">
        <s v="Level of application and attention to architectural aesthetics in the design process"/>
        <s v="Very good"/>
        <s v="Excellent"/>
        <s v="Good"/>
        <s v="Fair"/>
        <s v="Below average"/>
        <s v="Mean"/>
        <s v="Median"/>
        <s v="Ground-truth Results"/>
        <s v="Rank_Humans"/>
        <s v="Rank_GroundTruth"/>
      </sharedItems>
    </cacheField>
    <cacheField name="Column13" numFmtId="0">
      <sharedItems containsMixedTypes="1" containsNumber="1" minValue="0.1" maxValue="7"/>
    </cacheField>
    <cacheField name="Column14" numFmtId="0">
      <sharedItems containsMixedTypes="1" containsNumber="1" minValue="0.2" maxValue="3"/>
    </cacheField>
    <cacheField name="Column15" numFmtId="0">
      <sharedItems containsMixedTypes="1" containsNumber="1" minValue="0" maxValue="2"/>
    </cacheField>
    <cacheField name="Column16" numFmtId="0">
      <sharedItems containsMixedTypes="1" containsNumber="1" minValue="0.2" maxValue="6"/>
    </cacheField>
    <cacheField name="Column17" numFmtId="0">
      <sharedItems containsMixedTypes="1" containsNumber="1" minValue="0.1" maxValue="2"/>
    </cacheField>
    <cacheField name="Column18" numFmtId="0">
      <sharedItems containsMixedTypes="1" containsNumber="1" minValue="0.1" maxValue="4.5"/>
    </cacheField>
    <cacheField name="Column19" numFmtId="0">
      <sharedItems containsMixedTypes="1" containsNumber="1" minValue="0" maxValue="5"/>
    </cacheField>
    <cacheField name="Column20" numFmtId="0">
      <sharedItems containsMixedTypes="1" containsNumber="1" minValue="0" maxValue="1"/>
    </cacheField>
    <cacheField name="Column21" numFmtId="0">
      <sharedItems containsMixedTypes="1" containsNumber="1" minValue="0.2" maxValue="7"/>
    </cacheField>
    <cacheField name="Column22" numFmtId="0">
      <sharedItems containsMixedTypes="1" containsNumber="1" minValue="0" maxValue="3"/>
    </cacheField>
    <cacheField name="Column23" numFmtId="0">
      <sharedItems containsMixedTypes="1" containsNumber="1" minValue="0" maxValue="4"/>
    </cacheField>
    <cacheField name="Column24" numFmtId="0">
      <sharedItems containsMixedTypes="1" containsNumber="1" minValue="0.2" maxValue="5"/>
    </cacheField>
    <cacheField name="Column25" numFmtId="0">
      <sharedItems containsMixedTypes="1" containsNumber="1" minValue="0.2" maxValue="6.5"/>
    </cacheField>
    <cacheField name="Column26" numFmtId="0">
      <sharedItems containsMixedTypes="1" containsNumber="1" minValue="0.1" maxValue="6.5"/>
    </cacheField>
    <cacheField name="Column27" numFmtId="0">
      <sharedItems containsBlank="1" containsMixedTypes="1" containsNumber="1" minValue="0" maxValue="8"/>
    </cacheField>
    <cacheField name="Column28" numFmtId="0">
      <sharedItems containsMixedTypes="1" containsNumber="1" minValue="0" maxValue="1"/>
    </cacheField>
    <cacheField name="Column29" numFmtId="0">
      <sharedItems containsMixedTypes="1" containsNumber="1" minValue="0.08" maxValue="2"/>
    </cacheField>
    <cacheField name="Column30" numFmtId="0">
      <sharedItems containsMixedTypes="1" containsNumber="1" minValue="0.1" maxValue="6"/>
    </cacheField>
    <cacheField name="Column31" numFmtId="0">
      <sharedItems containsMixedTypes="1" containsNumber="1" minValue="0.3" maxValue="7"/>
    </cacheField>
    <cacheField name="Column32" numFmtId="0">
      <sharedItems containsMixedTypes="1" containsNumber="1" minValue="0" maxValue="6"/>
    </cacheField>
    <cacheField name="Column33" numFmtId="0">
      <sharedItems containsMixedTypes="1" containsNumber="1" minValue="0.3" maxValue="8"/>
    </cacheField>
    <cacheField name="Column34" numFmtId="0">
      <sharedItems containsMixedTypes="1" containsNumber="1" minValue="0.1" maxValue="4"/>
    </cacheField>
    <cacheField name="Column35" numFmtId="0">
      <sharedItems containsMixedTypes="1" containsNumber="1" minValue="0.1" maxValue="3.5"/>
    </cacheField>
    <cacheField name="Column36" numFmtId="0">
      <sharedItems containsMixedTypes="1" containsNumber="1" minValue="0" maxValue="1"/>
    </cacheField>
    <cacheField name="Column37" numFmtId="0">
      <sharedItems containsMixedTypes="1" containsNumber="1" minValue="0.09" maxValue="2"/>
    </cacheField>
    <cacheField name="Column38" numFmtId="0">
      <sharedItems containsMixedTypes="1" containsNumber="1" minValue="0.1" maxValue="5"/>
    </cacheField>
    <cacheField name="Column39" numFmtId="0">
      <sharedItems containsMixedTypes="1" containsNumber="1" minValue="0.1" maxValue="7"/>
    </cacheField>
    <cacheField name="Column40" numFmtId="0">
      <sharedItems containsMixedTypes="1" containsNumber="1" minValue="0.1" maxValue="6"/>
    </cacheField>
    <cacheField name="Column41" numFmtId="0">
      <sharedItems containsMixedTypes="1" containsNumber="1" minValue="0.3" maxValue="8"/>
    </cacheField>
    <cacheField name="Column42" numFmtId="0">
      <sharedItems containsMixedTypes="1" containsNumber="1" minValue="0" maxValue="7"/>
    </cacheField>
    <cacheField name="Column43" numFmtId="0">
      <sharedItems containsMixedTypes="1" containsNumber="1" minValue="0" maxValue="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s v="Name"/>
    <s v="Gender"/>
    <x v="0"/>
    <x v="0"/>
    <x v="0"/>
    <x v="0"/>
    <x v="0"/>
    <x v="0"/>
    <x v="0"/>
    <x v="0"/>
    <x v="0"/>
    <s v="Regularity [Facade 1]"/>
    <s v="Regularity [Facade 2]"/>
    <s v="Regularity [Facade 3]"/>
    <s v="Regularity [Facade 1]"/>
    <s v="Regularity [Facade 2]"/>
    <s v="Regularity [Facade 3]"/>
    <s v="Regularity [Facade 4]"/>
    <s v="Balance [Facade 1]"/>
    <s v="Balance [Facade 2]"/>
    <s v="Balance [Facade 3]"/>
    <s v="Balance [Facade 4]"/>
    <s v="Balance [Facade 1]"/>
    <s v="Balance [Facade 2]"/>
    <s v="Balance [Facade 3]"/>
    <s v="Balance [Facade 4]"/>
    <s v="Diversity [Facade 1]"/>
    <s v="Diversity [Facade 2]"/>
    <s v="Diversity [Facade 3]"/>
    <s v="Diversity [Facade 4]"/>
    <s v="Diversity [Facade 1]"/>
    <s v="Diversity [Facade 2]"/>
    <s v="Diversity [Facade 3]"/>
    <s v="Diversity [Facade 4]"/>
    <s v="Complexity [Facade 1]"/>
    <s v="Complexity [Facade 2]"/>
    <s v="Complexity [Facade 3]"/>
    <s v="Complexity [Facade 4]"/>
    <s v="Complexity [Facade 1]"/>
    <s v="Complexity [Facade 2]"/>
    <s v="Complexity [Facade 3]"/>
    <s v="Complexity [Facade 4]"/>
  </r>
  <r>
    <x v="1"/>
    <s v="لمى عبدالوهاب الدباغ"/>
    <s v="Female"/>
    <x v="1"/>
    <x v="1"/>
    <x v="1"/>
    <x v="1"/>
    <x v="1"/>
    <x v="1"/>
    <x v="1"/>
    <x v="1"/>
    <x v="1"/>
    <n v="1"/>
    <n v="1"/>
    <n v="0.4"/>
    <n v="1"/>
    <n v="0.9"/>
    <n v="1"/>
    <n v="1"/>
    <n v="0.1"/>
    <n v="1"/>
    <n v="0.8"/>
    <n v="0.9"/>
    <n v="0.9"/>
    <n v="0.9"/>
    <n v="1"/>
    <n v="1"/>
    <n v="0"/>
    <n v="0.1"/>
    <n v="0.4"/>
    <n v="1"/>
    <n v="0.4"/>
    <n v="1"/>
    <n v="0.5"/>
    <n v="0.4"/>
    <n v="0"/>
    <n v="0.2"/>
    <n v="0.4"/>
    <n v="0.6"/>
    <n v="0.4"/>
    <n v="0.8"/>
    <n v="0.4"/>
    <n v="0.2"/>
  </r>
  <r>
    <x v="2"/>
    <s v="محمود ابوالهدى "/>
    <s v="Male"/>
    <x v="2"/>
    <x v="2"/>
    <x v="2"/>
    <x v="2"/>
    <x v="2"/>
    <x v="2"/>
    <x v="2"/>
    <x v="1"/>
    <x v="1"/>
    <n v="1"/>
    <n v="0.7"/>
    <n v="0"/>
    <n v="1"/>
    <n v="0.9"/>
    <n v="0.9"/>
    <n v="0.9"/>
    <n v="0"/>
    <n v="1"/>
    <n v="0.6"/>
    <n v="0.2"/>
    <n v="1"/>
    <n v="0.6"/>
    <n v="1"/>
    <n v="1"/>
    <n v="0"/>
    <n v="0.2"/>
    <n v="0.5"/>
    <n v="1"/>
    <n v="0"/>
    <n v="1"/>
    <n v="0.5"/>
    <n v="0.2"/>
    <n v="0"/>
    <n v="0.3"/>
    <n v="0.5"/>
    <n v="1"/>
    <n v="0.8"/>
    <n v="0.9"/>
    <n v="0.5"/>
    <n v="0.2"/>
  </r>
  <r>
    <x v="3"/>
    <s v="محمود النقيب"/>
    <s v="Male"/>
    <x v="3"/>
    <x v="3"/>
    <x v="3"/>
    <x v="3"/>
    <x v="2"/>
    <x v="2"/>
    <x v="3"/>
    <x v="2"/>
    <x v="1"/>
    <n v="1"/>
    <n v="0.5"/>
    <n v="0"/>
    <n v="1"/>
    <n v="0.1"/>
    <n v="1"/>
    <n v="1"/>
    <n v="0"/>
    <n v="1"/>
    <n v="0.2"/>
    <n v="0"/>
    <n v="1"/>
    <n v="0.5"/>
    <n v="1"/>
    <n v="1"/>
    <n v="0.1"/>
    <n v="0.2"/>
    <n v="0.8"/>
    <n v="1"/>
    <n v="0.6"/>
    <n v="1"/>
    <n v="0.3"/>
    <n v="0.2"/>
    <n v="0.1"/>
    <n v="0.4"/>
    <n v="0.7"/>
    <n v="1"/>
    <n v="0.8"/>
    <n v="1"/>
    <n v="0.6"/>
    <n v="0"/>
  </r>
  <r>
    <x v="4"/>
    <s v="سالي حسن عبد العظيم حسن "/>
    <s v="Female"/>
    <x v="4"/>
    <x v="4"/>
    <x v="4"/>
    <x v="4"/>
    <x v="1"/>
    <x v="1"/>
    <x v="4"/>
    <x v="1"/>
    <x v="2"/>
    <n v="0.5"/>
    <n v="0.7"/>
    <n v="0.2"/>
    <n v="0.6"/>
    <n v="1"/>
    <n v="0.6"/>
    <n v="0.3"/>
    <n v="0"/>
    <n v="0.2"/>
    <n v="0.4"/>
    <n v="0.5"/>
    <n v="0.3"/>
    <n v="0.8"/>
    <n v="0.3"/>
    <n v="0"/>
    <n v="0.1"/>
    <n v="0.3"/>
    <n v="0.6"/>
    <n v="0.9"/>
    <n v="0.2"/>
    <n v="0.9"/>
    <n v="0.6"/>
    <n v="0.5"/>
    <n v="0.1"/>
    <n v="0.1"/>
    <n v="0.3"/>
    <n v="0.3"/>
    <n v="0.3"/>
    <n v="0.6"/>
    <n v="0.7"/>
    <n v="0.5"/>
  </r>
  <r>
    <x v="5"/>
    <s v="اسراء الاغا "/>
    <s v="Female"/>
    <x v="5"/>
    <x v="5"/>
    <x v="5"/>
    <x v="5"/>
    <x v="1"/>
    <x v="2"/>
    <x v="5"/>
    <x v="3"/>
    <x v="1"/>
    <n v="1"/>
    <n v="0.5"/>
    <n v="0.3"/>
    <n v="0.9"/>
    <n v="0.8"/>
    <n v="1"/>
    <n v="1"/>
    <n v="0.1"/>
    <n v="1"/>
    <n v="0.4"/>
    <n v="0.6"/>
    <n v="0.9"/>
    <n v="0.9"/>
    <n v="1"/>
    <n v="1"/>
    <n v="0.1"/>
    <n v="0.2"/>
    <n v="0.6"/>
    <n v="0.8"/>
    <n v="0.8"/>
    <n v="0.9"/>
    <n v="0.4"/>
    <n v="0.5"/>
    <n v="0.1"/>
    <n v="0.3"/>
    <n v="0.4"/>
    <n v="0.6"/>
    <n v="0.8"/>
    <n v="0.9"/>
    <n v="0.6"/>
    <n v="0.7"/>
  </r>
  <r>
    <x v="6"/>
    <s v="محمد عبدالسلام الحداد"/>
    <s v="Male"/>
    <x v="6"/>
    <x v="6"/>
    <x v="6"/>
    <x v="6"/>
    <x v="2"/>
    <x v="1"/>
    <x v="6"/>
    <x v="1"/>
    <x v="2"/>
    <n v="0.9"/>
    <n v="0.8"/>
    <n v="0.3"/>
    <n v="0.9"/>
    <n v="0.8"/>
    <n v="1"/>
    <n v="1"/>
    <n v="0.7"/>
    <n v="0.9"/>
    <n v="0.3"/>
    <n v="0.5"/>
    <n v="0.8"/>
    <n v="0.8"/>
    <n v="0.9"/>
    <n v="0.9"/>
    <n v="0.9"/>
    <n v="0.8"/>
    <n v="0.7"/>
    <n v="0.8"/>
    <n v="0.9"/>
    <n v="0.9"/>
    <n v="0.9"/>
    <n v="0.9"/>
    <n v="0"/>
    <n v="0.1"/>
    <n v="0.2"/>
    <n v="0.7"/>
    <n v="0.8"/>
    <n v="1"/>
    <n v="0.7"/>
    <n v="0.7"/>
  </r>
  <r>
    <x v="7"/>
    <s v="هشام هلال"/>
    <s v="Male"/>
    <x v="7"/>
    <x v="7"/>
    <x v="7"/>
    <x v="7"/>
    <x v="2"/>
    <x v="1"/>
    <x v="7"/>
    <x v="1"/>
    <x v="2"/>
    <n v="1"/>
    <n v="0.8"/>
    <n v="0.5"/>
    <n v="0.9"/>
    <n v="0.7"/>
    <n v="0.8"/>
    <n v="0.8"/>
    <n v="0.1"/>
    <n v="0.9"/>
    <n v="0.4"/>
    <n v="0.5"/>
    <n v="0.8"/>
    <n v="0.8"/>
    <n v="0.8"/>
    <n v="0.9"/>
    <n v="0.3"/>
    <n v="0.4"/>
    <n v="0.6"/>
    <n v="0.7"/>
    <n v="0.5"/>
    <n v="0.6"/>
    <n v="0.5"/>
    <n v="0.5"/>
    <n v="0.3"/>
    <n v="0.5"/>
    <n v="0.6"/>
    <n v="0.7"/>
    <n v="0.5"/>
    <n v="0.6"/>
    <n v="0.5"/>
    <n v="0.4"/>
  </r>
  <r>
    <x v="8"/>
    <s v="personal info i don't want to share thank you"/>
    <s v="Female"/>
    <x v="8"/>
    <x v="8"/>
    <x v="8"/>
    <x v="8"/>
    <x v="2"/>
    <x v="2"/>
    <x v="8"/>
    <x v="2"/>
    <x v="1"/>
    <n v="1"/>
    <n v="1"/>
    <n v="0"/>
    <n v="1"/>
    <n v="1"/>
    <n v="1"/>
    <n v="1"/>
    <n v="0.7"/>
    <n v="0.6"/>
    <n v="0.3"/>
    <n v="0"/>
    <n v="0.9"/>
    <n v="0.9"/>
    <n v="0.9"/>
    <n v="1"/>
    <n v="0"/>
    <n v="0.1"/>
    <n v="0.2"/>
    <n v="0.5"/>
    <n v="0.1"/>
    <n v="0.9"/>
    <n v="0.2"/>
    <n v="0.1"/>
    <n v="0"/>
    <n v="0.1"/>
    <n v="0.2"/>
    <n v="0.2"/>
    <n v="0.3"/>
    <n v="0.6"/>
    <n v="0"/>
    <n v="0.1"/>
  </r>
  <r>
    <x v="9"/>
    <s v="Prof. Husam Bakr"/>
    <s v="Male"/>
    <x v="9"/>
    <x v="9"/>
    <x v="9"/>
    <x v="9"/>
    <x v="1"/>
    <x v="1"/>
    <x v="9"/>
    <x v="3"/>
    <x v="1"/>
    <n v="1"/>
    <n v="0.8"/>
    <n v="0.2"/>
    <n v="1"/>
    <n v="0.5"/>
    <n v="0.7"/>
    <n v="0.7"/>
    <n v="0.1"/>
    <n v="1"/>
    <n v="0.4"/>
    <n v="0.6"/>
    <n v="0.8"/>
    <n v="0.7"/>
    <n v="1"/>
    <n v="1"/>
    <n v="0"/>
    <n v="0.2"/>
    <n v="0.3"/>
    <n v="0.6"/>
    <n v="0.8"/>
    <n v="0.9"/>
    <n v="0.5"/>
    <n v="0.4"/>
    <n v="0"/>
    <n v="0.2"/>
    <n v="0.3"/>
    <n v="0.5"/>
    <n v="0.6"/>
    <n v="0.8"/>
    <n v="0.5"/>
    <n v="0.3"/>
  </r>
  <r>
    <x v="10"/>
    <s v="Amira Medhat Ibrahim "/>
    <s v="Female"/>
    <x v="10"/>
    <x v="10"/>
    <x v="8"/>
    <x v="10"/>
    <x v="1"/>
    <x v="3"/>
    <x v="10"/>
    <x v="3"/>
    <x v="3"/>
    <n v="1"/>
    <n v="0.5"/>
    <n v="0"/>
    <n v="0.9"/>
    <n v="0.9"/>
    <n v="1"/>
    <n v="1"/>
    <n v="0"/>
    <n v="0.9"/>
    <n v="0.4"/>
    <n v="0.6"/>
    <n v="0.9"/>
    <n v="0.9"/>
    <n v="1"/>
    <n v="1"/>
    <n v="0.3"/>
    <n v="0.6"/>
    <n v="0.8"/>
    <n v="1"/>
    <n v="0.8"/>
    <n v="1"/>
    <n v="0.8"/>
    <n v="0.6"/>
    <n v="0"/>
    <n v="0.2"/>
    <n v="0.5"/>
    <n v="0.6"/>
    <n v="0.3"/>
    <n v="0.9"/>
    <n v="0.6"/>
    <n v="0.4"/>
  </r>
  <r>
    <x v="11"/>
    <s v="Dr. Ahmed Salah "/>
    <s v="Male"/>
    <x v="11"/>
    <x v="11"/>
    <x v="8"/>
    <x v="11"/>
    <x v="3"/>
    <x v="1"/>
    <x v="11"/>
    <x v="2"/>
    <x v="3"/>
    <n v="0.5"/>
    <n v="1"/>
    <n v="0.2"/>
    <n v="0.6"/>
    <n v="0.9"/>
    <n v="0.4"/>
    <n v="0.5"/>
    <n v="0.2"/>
    <n v="0.4"/>
    <n v="0.5"/>
    <n v="0.8"/>
    <n v="0.8"/>
    <n v="1"/>
    <n v="0.5"/>
    <n v="0.3"/>
    <n v="0.1"/>
    <n v="0.4"/>
    <n v="0.7"/>
    <n v="0.9"/>
    <n v="0.7"/>
    <n v="1"/>
    <n v="0.5"/>
    <n v="0.2"/>
    <n v="0.2"/>
    <n v="0.4"/>
    <n v="0.7"/>
    <n v="0.9"/>
    <n v="0.7"/>
    <n v="0.9"/>
    <n v="0.4"/>
    <n v="0.2"/>
  </r>
  <r>
    <x v="12"/>
    <s v="محمود محمد مراد صالح"/>
    <s v="Male"/>
    <x v="12"/>
    <x v="12"/>
    <x v="5"/>
    <x v="5"/>
    <x v="4"/>
    <x v="1"/>
    <x v="12"/>
    <x v="1"/>
    <x v="2"/>
    <n v="1"/>
    <n v="0.8"/>
    <n v="0.5"/>
    <n v="1"/>
    <n v="1"/>
    <n v="1"/>
    <n v="1"/>
    <n v="1"/>
    <n v="0.8"/>
    <n v="0.5"/>
    <n v="0.7"/>
    <n v="1"/>
    <n v="1"/>
    <n v="1"/>
    <n v="1"/>
    <n v="0.6"/>
    <n v="0.7"/>
    <n v="0.8"/>
    <n v="1"/>
    <n v="0.9"/>
    <n v="1"/>
    <n v="0.8"/>
    <n v="0.7"/>
    <n v="0.2"/>
    <n v="0.3"/>
    <n v="0.5"/>
    <n v="0.8"/>
    <n v="0.9"/>
    <n v="1"/>
    <n v="0.8"/>
    <n v="0.7"/>
  </r>
  <r>
    <x v="13"/>
    <s v="Hanaa shaban"/>
    <s v="Female"/>
    <x v="13"/>
    <x v="13"/>
    <x v="10"/>
    <x v="12"/>
    <x v="2"/>
    <x v="3"/>
    <x v="13"/>
    <x v="3"/>
    <x v="1"/>
    <n v="1"/>
    <n v="0.9"/>
    <n v="0.2"/>
    <n v="0.9"/>
    <n v="0.6"/>
    <n v="0.7"/>
    <n v="0.7"/>
    <n v="0.1"/>
    <n v="1"/>
    <n v="0.2"/>
    <n v="0.5"/>
    <n v="1"/>
    <n v="0.9"/>
    <n v="0.9"/>
    <m/>
    <n v="1"/>
    <n v="0.9"/>
    <n v="0.5"/>
    <n v="0.3"/>
    <n v="0.9"/>
    <n v="0.9"/>
    <n v="0.9"/>
    <n v="0.9"/>
    <n v="0"/>
    <n v="0.2"/>
    <n v="0.4"/>
    <n v="0.5"/>
    <n v="0.4"/>
    <n v="0.9"/>
    <n v="0.4"/>
    <n v="0.3"/>
  </r>
  <r>
    <x v="14"/>
    <s v="Dr.Amr Sayed "/>
    <s v="Male"/>
    <x v="14"/>
    <x v="14"/>
    <x v="11"/>
    <x v="13"/>
    <x v="1"/>
    <x v="1"/>
    <x v="9"/>
    <x v="1"/>
    <x v="2"/>
    <n v="1"/>
    <n v="1"/>
    <n v="0.5"/>
    <n v="1"/>
    <n v="1"/>
    <n v="0.7"/>
    <n v="0.7"/>
    <n v="0.3"/>
    <n v="0.8"/>
    <n v="0.4"/>
    <n v="0.6"/>
    <n v="1"/>
    <n v="1"/>
    <n v="0.9"/>
    <n v="1"/>
    <n v="1"/>
    <n v="0.7"/>
    <n v="0.5"/>
    <n v="0.5"/>
    <n v="1"/>
    <n v="0.6"/>
    <n v="0.6"/>
    <n v="0.6"/>
    <n v="0.1"/>
    <n v="0.5"/>
    <n v="0.7"/>
    <n v="0.8"/>
    <n v="0.1"/>
    <n v="0.4"/>
    <n v="0.2"/>
    <n v="0.2"/>
  </r>
  <r>
    <x v="15"/>
    <s v="Eman "/>
    <s v="Female"/>
    <x v="15"/>
    <x v="15"/>
    <x v="12"/>
    <x v="14"/>
    <x v="5"/>
    <x v="2"/>
    <x v="14"/>
    <x v="2"/>
    <x v="3"/>
    <n v="0.1"/>
    <n v="0.2"/>
    <n v="0.2"/>
    <n v="0.8"/>
    <n v="0.7"/>
    <n v="0.8"/>
    <n v="0.8"/>
    <n v="0.9"/>
    <n v="0.8"/>
    <n v="0.7"/>
    <n v="0.7"/>
    <n v="0.9"/>
    <n v="0.9"/>
    <n v="0.8"/>
    <n v="0.8"/>
    <n v="0.8"/>
    <n v="0.8"/>
    <n v="0.9"/>
    <n v="0.9"/>
    <n v="0.8"/>
    <n v="0.8"/>
    <n v="0.9"/>
    <n v="0.9"/>
    <n v="0.9"/>
    <n v="0.9"/>
    <n v="0.8"/>
    <n v="0.8"/>
    <n v="0.9"/>
    <n v="0.8"/>
    <n v="0.7"/>
    <n v="0.8"/>
  </r>
  <r>
    <x v="16"/>
    <s v="Hazem Ezzeldin Qassem"/>
    <s v="Male"/>
    <x v="16"/>
    <x v="16"/>
    <x v="8"/>
    <x v="15"/>
    <x v="2"/>
    <x v="1"/>
    <x v="15"/>
    <x v="1"/>
    <x v="2"/>
    <n v="0.3"/>
    <n v="0.3"/>
    <n v="0.6"/>
    <n v="0.5"/>
    <n v="0.9"/>
    <n v="0.5"/>
    <n v="0.3"/>
    <n v="0.2"/>
    <n v="0.6"/>
    <n v="0.2"/>
    <n v="0.3"/>
    <n v="0.2"/>
    <n v="0.9"/>
    <n v="0.6"/>
    <n v="0.6"/>
    <n v="0.1"/>
    <n v="0.1"/>
    <n v="0.1"/>
    <n v="0.4"/>
    <n v="0.3"/>
    <n v="0.9"/>
    <n v="0.3"/>
    <n v="0.3"/>
    <n v="0.1"/>
    <n v="0.1"/>
    <n v="0.1"/>
    <n v="0.1"/>
    <n v="0.3"/>
    <n v="0.9"/>
    <n v="0.3"/>
    <n v="0.3"/>
  </r>
  <r>
    <x v="17"/>
    <s v="Rania Rushdy"/>
    <s v="Female"/>
    <x v="17"/>
    <x v="17"/>
    <x v="9"/>
    <x v="9"/>
    <x v="1"/>
    <x v="1"/>
    <x v="9"/>
    <x v="3"/>
    <x v="1"/>
    <n v="1"/>
    <n v="0.6"/>
    <n v="0.4"/>
    <n v="0.8"/>
    <n v="1"/>
    <n v="0.8"/>
    <n v="1"/>
    <n v="0"/>
    <n v="1"/>
    <n v="0.4"/>
    <n v="0.7"/>
    <n v="1"/>
    <n v="1"/>
    <n v="1"/>
    <n v="1"/>
    <n v="0"/>
    <n v="0.2"/>
    <n v="0.5"/>
    <n v="1"/>
    <n v="0.4"/>
    <n v="1"/>
    <n v="0.4"/>
    <n v="0.6"/>
    <n v="0"/>
    <n v="0.3"/>
    <n v="0.6"/>
    <n v="0.9"/>
    <n v="0.5"/>
    <n v="1"/>
    <n v="0.3"/>
    <n v="0.8"/>
  </r>
  <r>
    <x v="18"/>
    <s v="Ahmad AlQuosi"/>
    <s v="Male"/>
    <x v="18"/>
    <x v="18"/>
    <x v="13"/>
    <x v="16"/>
    <x v="2"/>
    <x v="1"/>
    <x v="16"/>
    <x v="2"/>
    <x v="4"/>
    <n v="1"/>
    <n v="0.8"/>
    <n v="0.3"/>
    <n v="0.9"/>
    <n v="0.5"/>
    <n v="0.8"/>
    <n v="0.8"/>
    <n v="0.3"/>
    <n v="1"/>
    <n v="0.5"/>
    <n v="0.6"/>
    <n v="1"/>
    <n v="0.8"/>
    <n v="1"/>
    <n v="1"/>
    <n v="0.1"/>
    <n v="0.2"/>
    <n v="0.4"/>
    <n v="1"/>
    <n v="0.2"/>
    <n v="0.7"/>
    <n v="0.5"/>
    <n v="0.5"/>
    <n v="0"/>
    <n v="0.2"/>
    <n v="0.4"/>
    <n v="0.6"/>
    <n v="0.4"/>
    <n v="0.6"/>
    <n v="0.4"/>
    <n v="0.5"/>
  </r>
  <r>
    <x v="19"/>
    <s v="ahmed anas"/>
    <s v="Male"/>
    <x v="19"/>
    <x v="19"/>
    <x v="14"/>
    <x v="17"/>
    <x v="2"/>
    <x v="1"/>
    <x v="17"/>
    <x v="3"/>
    <x v="1"/>
    <n v="0.2"/>
    <n v="0.8"/>
    <n v="0.7"/>
    <n v="0.4"/>
    <n v="0.6"/>
    <n v="0.3"/>
    <n v="0.8"/>
    <n v="0.7"/>
    <n v="0.8"/>
    <n v="0.3"/>
    <n v="0.4"/>
    <n v="0.7"/>
    <n v="0.8"/>
    <n v="0.5"/>
    <n v="0.9"/>
    <n v="0.9"/>
    <n v="0.7"/>
    <n v="0.4"/>
    <n v="0.4"/>
    <n v="0.5"/>
    <n v="0.7"/>
    <n v="0.3"/>
    <n v="0.7"/>
    <n v="0.5"/>
    <n v="0.6"/>
    <n v="0.7"/>
    <n v="0.8"/>
    <n v="0.5"/>
    <n v="0.6"/>
    <n v="0.4"/>
    <n v="0.7"/>
  </r>
  <r>
    <x v="20"/>
    <s v="Radwa Ezzat"/>
    <s v="Female"/>
    <x v="20"/>
    <x v="20"/>
    <x v="15"/>
    <x v="12"/>
    <x v="2"/>
    <x v="2"/>
    <x v="16"/>
    <x v="3"/>
    <x v="1"/>
    <n v="1"/>
    <n v="0.8"/>
    <n v="0.2"/>
    <n v="0.9"/>
    <n v="0.5"/>
    <n v="0.7"/>
    <n v="0.9"/>
    <n v="0.5"/>
    <n v="1"/>
    <n v="0.2"/>
    <n v="0.7"/>
    <n v="0.8"/>
    <n v="0.9"/>
    <n v="0.7"/>
    <n v="1"/>
    <n v="0"/>
    <n v="0.1"/>
    <n v="0.7"/>
    <n v="1"/>
    <n v="0.6"/>
    <n v="0.9"/>
    <n v="0.6"/>
    <n v="0.6"/>
    <n v="0"/>
    <n v="0.2"/>
    <n v="0.5"/>
    <n v="0.7"/>
    <n v="0.4"/>
    <n v="0.8"/>
    <n v="0.4"/>
    <n v="0.3"/>
  </r>
  <r>
    <x v="21"/>
    <s v="Mohamed "/>
    <s v="Male"/>
    <x v="21"/>
    <x v="16"/>
    <x v="8"/>
    <x v="15"/>
    <x v="1"/>
    <x v="1"/>
    <x v="9"/>
    <x v="3"/>
    <x v="2"/>
    <n v="1"/>
    <n v="0.9"/>
    <n v="0.3"/>
    <n v="1"/>
    <n v="0.9"/>
    <n v="1"/>
    <n v="1"/>
    <n v="0.7"/>
    <n v="0.9"/>
    <n v="0.4"/>
    <n v="0.8"/>
    <n v="1"/>
    <n v="1"/>
    <n v="1"/>
    <n v="1"/>
    <n v="0"/>
    <n v="0.2"/>
    <n v="0.4"/>
    <n v="0.7"/>
    <n v="0.2"/>
    <n v="0.4"/>
    <n v="0.2"/>
    <n v="0.2"/>
    <n v="0"/>
    <n v="0.1"/>
    <n v="0.2"/>
    <n v="0.3"/>
    <n v="0.2"/>
    <n v="0.6"/>
    <n v="0.4"/>
    <n v="0.3"/>
  </r>
  <r>
    <x v="22"/>
    <s v="Eslam Nofal"/>
    <s v="Male"/>
    <x v="22"/>
    <x v="21"/>
    <x v="16"/>
    <x v="18"/>
    <x v="4"/>
    <x v="1"/>
    <x v="16"/>
    <x v="2"/>
    <x v="3"/>
    <n v="1"/>
    <n v="0.9"/>
    <n v="0.4"/>
    <n v="0.9"/>
    <n v="0.7"/>
    <n v="0.8"/>
    <n v="0.9"/>
    <n v="0.8"/>
    <n v="0.9"/>
    <n v="0.3"/>
    <n v="0.6"/>
    <n v="1"/>
    <n v="0.8"/>
    <n v="0.9"/>
    <n v="0.9"/>
    <n v="0.3"/>
    <n v="0.4"/>
    <n v="0.7"/>
    <n v="0.8"/>
    <n v="0.6"/>
    <n v="0.9"/>
    <n v="0.5"/>
    <n v="0.4"/>
    <n v="0.2"/>
    <n v="0.4"/>
    <n v="0.4"/>
    <n v="0.6"/>
    <n v="0.5"/>
    <n v="0.9"/>
    <n v="0.5"/>
    <n v="0.3"/>
  </r>
  <r>
    <x v="23"/>
    <s v="Sara Aly"/>
    <s v="Female"/>
    <x v="23"/>
    <x v="22"/>
    <x v="17"/>
    <x v="19"/>
    <x v="1"/>
    <x v="2"/>
    <x v="18"/>
    <x v="3"/>
    <x v="1"/>
    <n v="1"/>
    <n v="0.8"/>
    <n v="0.2"/>
    <n v="1"/>
    <n v="0.8"/>
    <n v="0.9"/>
    <n v="0.9"/>
    <n v="0.1"/>
    <n v="0.9"/>
    <n v="0"/>
    <n v="0.6"/>
    <n v="0.7"/>
    <n v="0.4"/>
    <n v="0.8"/>
    <n v="0.8"/>
    <n v="0"/>
    <n v="0.1"/>
    <n v="0.4"/>
    <n v="0.6"/>
    <n v="0.4"/>
    <n v="0.8"/>
    <n v="0.3"/>
    <n v="0.4"/>
    <n v="0"/>
    <n v="0.2"/>
    <n v="0.3"/>
    <n v="0.7"/>
    <n v="0.3"/>
    <n v="0.7"/>
    <n v="0.3"/>
    <n v="0.2"/>
  </r>
  <r>
    <x v="24"/>
    <s v="Khaled Ali Youssef"/>
    <s v="Male"/>
    <x v="24"/>
    <x v="23"/>
    <x v="18"/>
    <x v="20"/>
    <x v="2"/>
    <x v="1"/>
    <x v="19"/>
    <x v="1"/>
    <x v="2"/>
    <n v="0.9"/>
    <n v="0.7"/>
    <n v="0.3"/>
    <n v="0.8"/>
    <n v="0.2"/>
    <n v="0.8"/>
    <n v="0.8"/>
    <n v="0.2"/>
    <n v="0.9"/>
    <n v="0.5"/>
    <n v="0.7"/>
    <n v="0.8"/>
    <n v="0.2"/>
    <n v="0.8"/>
    <n v="0.8"/>
    <n v="0.1"/>
    <n v="0.3"/>
    <n v="0.6"/>
    <n v="0.9"/>
    <n v="0.6"/>
    <n v="0.9"/>
    <n v="0.7"/>
    <n v="0.4"/>
    <n v="0.2"/>
    <n v="0.4"/>
    <n v="0.6"/>
    <n v="0.8"/>
    <n v="0.7"/>
    <n v="0.9"/>
    <n v="0.4"/>
    <n v="0.1"/>
  </r>
  <r>
    <x v="25"/>
    <s v="Mariam hassan "/>
    <s v="Female"/>
    <x v="25"/>
    <x v="24"/>
    <x v="19"/>
    <x v="21"/>
    <x v="2"/>
    <x v="2"/>
    <x v="20"/>
    <x v="2"/>
    <x v="1"/>
    <n v="1"/>
    <n v="0.9"/>
    <n v="0"/>
    <n v="1"/>
    <n v="0.8"/>
    <n v="1"/>
    <n v="0.9"/>
    <n v="0.5"/>
    <n v="1"/>
    <n v="0"/>
    <n v="0.1"/>
    <n v="0.4"/>
    <n v="0.6"/>
    <n v="1"/>
    <n v="1"/>
    <n v="0"/>
    <n v="0.4"/>
    <n v="0.7"/>
    <n v="1"/>
    <n v="0.6"/>
    <n v="1"/>
    <n v="0.5"/>
    <n v="0.8"/>
    <n v="0"/>
    <n v="0.4"/>
    <n v="0.7"/>
    <n v="0.9"/>
    <n v="0.6"/>
    <n v="0.9"/>
    <n v="0.4"/>
    <n v="0.7"/>
  </r>
  <r>
    <x v="26"/>
    <s v="ابراهيم محمد سيد "/>
    <s v="Male"/>
    <x v="26"/>
    <x v="25"/>
    <x v="1"/>
    <x v="22"/>
    <x v="1"/>
    <x v="2"/>
    <x v="7"/>
    <x v="3"/>
    <x v="3"/>
    <n v="1"/>
    <n v="0.6"/>
    <n v="0.4"/>
    <n v="1"/>
    <n v="0.7"/>
    <n v="0.9"/>
    <n v="0.9"/>
    <n v="0.2"/>
    <n v="1"/>
    <n v="0.7"/>
    <n v="0.8"/>
    <n v="0.8"/>
    <n v="0.9"/>
    <n v="1"/>
    <n v="1"/>
    <n v="0"/>
    <n v="0.3"/>
    <n v="0.7"/>
    <n v="1"/>
    <n v="0.4"/>
    <n v="0.9"/>
    <n v="0.4"/>
    <n v="0.5"/>
    <n v="0"/>
    <n v="0.2"/>
    <n v="0.3"/>
    <n v="0.5"/>
    <n v="0.6"/>
    <n v="0.6"/>
    <n v="0.4"/>
    <n v="0.3"/>
  </r>
  <r>
    <x v="27"/>
    <s v="Omar Abdellah"/>
    <s v="Male"/>
    <x v="27"/>
    <x v="26"/>
    <x v="9"/>
    <x v="9"/>
    <x v="2"/>
    <x v="2"/>
    <x v="21"/>
    <x v="2"/>
    <x v="1"/>
    <n v="1"/>
    <n v="0.9"/>
    <n v="0.3"/>
    <n v="0.9"/>
    <n v="0.7"/>
    <n v="1"/>
    <n v="1"/>
    <n v="0.3"/>
    <n v="1"/>
    <n v="0.4"/>
    <n v="0.8"/>
    <n v="0.9"/>
    <n v="0.9"/>
    <n v="1"/>
    <n v="1"/>
    <n v="0"/>
    <n v="0.3"/>
    <n v="0.5"/>
    <n v="0.7"/>
    <n v="0.4"/>
    <n v="0.8"/>
    <n v="0.5"/>
    <n v="0.6"/>
    <n v="0.2"/>
    <n v="0.4"/>
    <n v="0.6"/>
    <n v="0.8"/>
    <n v="0.7"/>
    <n v="0.8"/>
    <n v="0.6"/>
    <n v="0.7"/>
  </r>
  <r>
    <x v="28"/>
    <s v="ISLAM ABOUELHAMD"/>
    <s v="Male"/>
    <x v="28"/>
    <x v="27"/>
    <x v="20"/>
    <x v="23"/>
    <x v="4"/>
    <x v="2"/>
    <x v="16"/>
    <x v="3"/>
    <x v="4"/>
    <n v="1"/>
    <n v="0.8"/>
    <n v="0.6"/>
    <n v="0.9"/>
    <n v="0.8"/>
    <n v="1"/>
    <n v="0.9"/>
    <n v="0.7"/>
    <n v="0.9"/>
    <n v="0.8"/>
    <n v="0.9"/>
    <n v="0.3"/>
    <n v="0.5"/>
    <n v="0.8"/>
    <n v="1"/>
    <n v="0"/>
    <n v="0.2"/>
    <n v="0.4"/>
    <n v="0.8"/>
    <n v="0.3"/>
    <n v="0.8"/>
    <n v="0.5"/>
    <n v="0.1"/>
    <n v="0.1"/>
    <n v="0.3"/>
    <n v="0.4"/>
    <n v="0.6"/>
    <n v="0.3"/>
    <n v="0.7"/>
    <n v="0.5"/>
    <n v="0.2"/>
  </r>
  <r>
    <x v="29"/>
    <s v="Islam Abdelkodous"/>
    <s v="Male"/>
    <x v="29"/>
    <x v="28"/>
    <x v="11"/>
    <x v="21"/>
    <x v="2"/>
    <x v="1"/>
    <x v="22"/>
    <x v="1"/>
    <x v="2"/>
    <n v="0.5"/>
    <n v="0.6"/>
    <n v="0.9"/>
    <n v="0.6"/>
    <n v="0.8"/>
    <n v="0.5"/>
    <n v="0.5"/>
    <n v="0.6"/>
    <n v="0.8"/>
    <n v="0.4"/>
    <n v="0.6"/>
    <n v="0.7"/>
    <n v="0.8"/>
    <n v="0.7"/>
    <n v="0.7"/>
    <n v="0.2"/>
    <n v="0.4"/>
    <n v="0.5"/>
    <n v="0.6"/>
    <n v="0.4"/>
    <n v="0.6"/>
    <n v="0.5"/>
    <n v="0.5"/>
    <n v="0.1"/>
    <n v="0.3"/>
    <n v="0.4"/>
    <n v="0.6"/>
    <n v="0.4"/>
    <n v="0.7"/>
    <n v="0.6"/>
    <n v="0.5"/>
  </r>
  <r>
    <x v="30"/>
    <s v="Abdelrahman Abdelnaby"/>
    <s v="Male"/>
    <x v="30"/>
    <x v="16"/>
    <x v="15"/>
    <x v="9"/>
    <x v="2"/>
    <x v="2"/>
    <x v="16"/>
    <x v="3"/>
    <x v="2"/>
    <n v="1"/>
    <n v="0.8"/>
    <n v="0.3"/>
    <n v="0.7"/>
    <n v="0.5"/>
    <n v="0.8"/>
    <n v="0.9"/>
    <n v="0.2"/>
    <n v="0.8"/>
    <n v="0"/>
    <n v="0.1"/>
    <n v="0.9"/>
    <n v="0.6"/>
    <n v="0.7"/>
    <n v="0.8"/>
    <n v="0.1"/>
    <n v="0.2"/>
    <n v="0.3"/>
    <n v="0.5"/>
    <n v="0.4"/>
    <n v="0.7"/>
    <n v="0.3"/>
    <n v="0.2"/>
    <n v="0.1"/>
    <n v="0.4"/>
    <n v="0.6"/>
    <n v="0.8"/>
    <n v="0.6"/>
    <n v="0.9"/>
    <n v="0.5"/>
    <n v="0.4"/>
  </r>
  <r>
    <x v="31"/>
    <s v="ضياء الدين محمود"/>
    <s v="Male"/>
    <x v="31"/>
    <x v="29"/>
    <x v="21"/>
    <x v="24"/>
    <x v="2"/>
    <x v="3"/>
    <x v="7"/>
    <x v="1"/>
    <x v="5"/>
    <n v="0.1"/>
    <n v="0.3"/>
    <n v="0.2"/>
    <n v="0.2"/>
    <n v="0.3"/>
    <n v="0.1"/>
    <n v="0"/>
    <n v="0.1"/>
    <n v="0.2"/>
    <n v="0"/>
    <n v="0.2"/>
    <n v="0.2"/>
    <n v="0.3"/>
    <n v="0.1"/>
    <n v="0.1"/>
    <n v="0.2"/>
    <n v="0.2"/>
    <n v="0.3"/>
    <n v="0.3"/>
    <n v="0.2"/>
    <n v="0.3"/>
    <n v="0.1"/>
    <n v="0.1"/>
    <n v="0.1"/>
    <n v="0.2"/>
    <n v="0.2"/>
    <n v="0.3"/>
    <n v="0.2"/>
    <n v="0.3"/>
    <n v="0.1"/>
    <n v="0.1"/>
  </r>
  <r>
    <x v="32"/>
    <m/>
    <s v="Male"/>
    <x v="32"/>
    <x v="30"/>
    <x v="11"/>
    <x v="21"/>
    <x v="6"/>
    <x v="4"/>
    <x v="23"/>
    <x v="4"/>
    <x v="6"/>
    <n v="0.84848484848484851"/>
    <n v="0.74848484848484853"/>
    <n v="0.31515151515151524"/>
    <n v="0.8484848484848484"/>
    <n v="0.73333333333333317"/>
    <n v="0.80303030303030298"/>
    <n v="0.81515151515151485"/>
    <n v="0.32424242424242417"/>
    <n v="0.8303030303030301"/>
    <n v="0.38484848484848494"/>
    <n v="0.54242424242424236"/>
    <n v="0.79090909090909089"/>
    <n v="0.77575757575757576"/>
    <n v="0.82727272727272727"/>
    <n v="0.85625000000000007"/>
    <n v="0.22121212121212119"/>
    <n v="0.33939393939393941"/>
    <n v="0.52424242424242429"/>
    <n v="0.75454545454545474"/>
    <n v="0.50303030303030305"/>
    <n v="0.81818181818181812"/>
    <n v="0.49090909090909102"/>
    <n v="0.45151515151515148"/>
    <n v="0.10909090909090913"/>
    <n v="0.29696969696969705"/>
    <n v="0.45151515151515154"/>
    <n v="0.63333333333333364"/>
    <n v="0.49696969696969695"/>
    <n v="0.76666666666666661"/>
    <n v="0.4484848484848486"/>
    <n v="0.38181818181818178"/>
  </r>
  <r>
    <x v="32"/>
    <m/>
    <s v="Female"/>
    <x v="33"/>
    <x v="30"/>
    <x v="11"/>
    <x v="21"/>
    <x v="6"/>
    <x v="4"/>
    <x v="23"/>
    <x v="4"/>
    <x v="7"/>
    <n v="1"/>
    <n v="0.8"/>
    <n v="0.3"/>
    <n v="0.9"/>
    <n v="0.8"/>
    <n v="0.8"/>
    <n v="0.9"/>
    <n v="0.2"/>
    <n v="0.9"/>
    <n v="0.4"/>
    <n v="0.6"/>
    <n v="0.9"/>
    <n v="0.8"/>
    <n v="0.9"/>
    <n v="1"/>
    <n v="0.1"/>
    <n v="0.2"/>
    <n v="0.5"/>
    <n v="0.8"/>
    <n v="0.5"/>
    <n v="0.9"/>
    <n v="0.5"/>
    <n v="0.5"/>
    <n v="0.1"/>
    <n v="0.3"/>
    <n v="0.4"/>
    <n v="0.6"/>
    <n v="0.5"/>
    <n v="0.8"/>
    <n v="0.4"/>
    <n v="0.3"/>
  </r>
  <r>
    <x v="32"/>
    <m/>
    <m/>
    <x v="34"/>
    <x v="30"/>
    <x v="11"/>
    <x v="21"/>
    <x v="6"/>
    <x v="4"/>
    <x v="23"/>
    <x v="4"/>
    <x v="8"/>
    <n v="1"/>
    <n v="0.96"/>
    <n v="0.91"/>
    <n v="0.98"/>
    <n v="0.9"/>
    <n v="0.97"/>
    <n v="0.97"/>
    <n v="0"/>
    <n v="1"/>
    <n v="0.6"/>
    <n v="0.76"/>
    <n v="0.51"/>
    <n v="1"/>
    <n v="1"/>
    <n v="1"/>
    <n v="0.05"/>
    <n v="0.08"/>
    <n v="0.25"/>
    <n v="0.47"/>
    <n v="0.35"/>
    <n v="0.66"/>
    <n v="0.19"/>
    <n v="0.19"/>
    <n v="0.03"/>
    <n v="0.09"/>
    <n v="0.21"/>
    <n v="0.22"/>
    <n v="0.28999999999999998"/>
    <n v="0.49"/>
    <n v="0.31"/>
    <n v="0.21"/>
  </r>
  <r>
    <x v="32"/>
    <m/>
    <m/>
    <x v="34"/>
    <x v="30"/>
    <x v="11"/>
    <x v="21"/>
    <x v="6"/>
    <x v="4"/>
    <x v="23"/>
    <x v="4"/>
    <x v="9"/>
    <n v="7"/>
    <n v="3"/>
    <n v="1"/>
    <n v="6"/>
    <n v="2"/>
    <n v="4"/>
    <n v="5"/>
    <n v="1"/>
    <n v="7"/>
    <n v="2"/>
    <n v="3"/>
    <n v="5"/>
    <n v="4"/>
    <n v="6"/>
    <n v="8"/>
    <n v="1"/>
    <n v="2"/>
    <n v="6"/>
    <n v="7"/>
    <n v="5"/>
    <n v="8"/>
    <n v="4"/>
    <n v="3"/>
    <n v="1"/>
    <n v="2"/>
    <n v="5"/>
    <n v="7"/>
    <n v="6"/>
    <n v="8"/>
    <n v="4"/>
    <n v="3"/>
  </r>
  <r>
    <x v="32"/>
    <m/>
    <m/>
    <x v="34"/>
    <x v="30"/>
    <x v="11"/>
    <x v="21"/>
    <x v="6"/>
    <x v="4"/>
    <x v="23"/>
    <x v="4"/>
    <x v="10"/>
    <n v="7"/>
    <n v="3"/>
    <n v="2"/>
    <n v="6"/>
    <n v="1"/>
    <n v="4.5"/>
    <n v="4.5"/>
    <n v="1"/>
    <n v="6.5"/>
    <n v="3"/>
    <n v="4"/>
    <n v="2"/>
    <n v="6.5"/>
    <n v="6.5"/>
    <n v="6.5"/>
    <n v="1"/>
    <n v="2"/>
    <n v="5"/>
    <n v="7"/>
    <n v="6"/>
    <n v="8"/>
    <n v="3.5"/>
    <n v="3.5"/>
    <n v="1"/>
    <n v="2"/>
    <n v="3.5"/>
    <n v="5"/>
    <n v="6"/>
    <n v="8"/>
    <n v="7"/>
    <n v="3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697A4-F948-4E99-9CF1-8C74B23DF5F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0" firstHeaderRow="1" firstDataRow="1" firstDataCol="1"/>
  <pivotFields count="43">
    <pivotField showAll="0">
      <items count="34">
        <item x="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1"/>
        <item x="21"/>
        <item x="22"/>
        <item x="23"/>
        <item x="24"/>
        <item x="25"/>
        <item x="26"/>
        <item x="27"/>
        <item x="2"/>
        <item x="3"/>
        <item x="4"/>
        <item x="28"/>
        <item x="29"/>
        <item x="30"/>
        <item x="5"/>
        <item x="6"/>
        <item x="31"/>
        <item x="7"/>
        <item x="32"/>
        <item t="default"/>
      </items>
    </pivotField>
    <pivotField showAll="0"/>
    <pivotField showAll="0"/>
    <pivotField showAll="0">
      <items count="36">
        <item x="33"/>
        <item x="32"/>
        <item x="2"/>
        <item x="30"/>
        <item x="28"/>
        <item x="10"/>
        <item x="18"/>
        <item x="31"/>
        <item x="14"/>
        <item x="11"/>
        <item x="0"/>
        <item x="4"/>
        <item x="15"/>
        <item x="19"/>
        <item x="6"/>
        <item x="22"/>
        <item x="5"/>
        <item x="7"/>
        <item x="16"/>
        <item x="9"/>
        <item x="26"/>
        <item x="29"/>
        <item x="24"/>
        <item x="1"/>
        <item x="21"/>
        <item x="3"/>
        <item x="25"/>
        <item x="12"/>
        <item x="27"/>
        <item x="13"/>
        <item x="8"/>
        <item x="20"/>
        <item x="17"/>
        <item x="23"/>
        <item x="34"/>
        <item t="default"/>
      </items>
    </pivotField>
    <pivotField showAll="0">
      <items count="32">
        <item x="2"/>
        <item x="26"/>
        <item x="0"/>
        <item x="8"/>
        <item x="24"/>
        <item x="20"/>
        <item x="16"/>
        <item x="15"/>
        <item x="13"/>
        <item x="9"/>
        <item x="7"/>
        <item x="22"/>
        <item x="23"/>
        <item x="19"/>
        <item x="3"/>
        <item x="27"/>
        <item x="10"/>
        <item x="18"/>
        <item x="14"/>
        <item x="28"/>
        <item x="11"/>
        <item x="17"/>
        <item x="21"/>
        <item x="25"/>
        <item x="1"/>
        <item x="12"/>
        <item x="5"/>
        <item x="4"/>
        <item x="29"/>
        <item x="6"/>
        <item x="30"/>
        <item t="default"/>
      </items>
    </pivotField>
    <pivotField showAll="0">
      <items count="23">
        <item x="14"/>
        <item x="19"/>
        <item x="12"/>
        <item x="10"/>
        <item x="15"/>
        <item x="9"/>
        <item x="16"/>
        <item x="0"/>
        <item x="8"/>
        <item x="20"/>
        <item x="18"/>
        <item x="17"/>
        <item x="13"/>
        <item x="4"/>
        <item x="6"/>
        <item x="7"/>
        <item x="3"/>
        <item x="1"/>
        <item x="5"/>
        <item x="2"/>
        <item x="21"/>
        <item x="11"/>
        <item t="default"/>
      </items>
    </pivotField>
    <pivotField showAll="0">
      <items count="26">
        <item x="17"/>
        <item x="14"/>
        <item x="10"/>
        <item x="18"/>
        <item x="8"/>
        <item x="12"/>
        <item x="9"/>
        <item x="11"/>
        <item x="13"/>
        <item x="0"/>
        <item x="19"/>
        <item x="15"/>
        <item x="20"/>
        <item x="23"/>
        <item x="16"/>
        <item x="1"/>
        <item x="4"/>
        <item x="7"/>
        <item x="24"/>
        <item x="3"/>
        <item x="22"/>
        <item x="5"/>
        <item x="6"/>
        <item x="2"/>
        <item x="21"/>
        <item t="default"/>
      </items>
    </pivotField>
    <pivotField axis="axisRow" dataField="1" showAll="0">
      <items count="8">
        <item x="2"/>
        <item x="0"/>
        <item x="4"/>
        <item x="1"/>
        <item x="5"/>
        <item x="3"/>
        <item h="1" x="6"/>
        <item t="default"/>
      </items>
    </pivotField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lumn8" fld="7" subtotal="count" showDataAs="percentOfCol" baseField="0" baseItem="0" numFmtId="10"/>
  </dataFields>
  <chartFormats count="9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B5570-62C2-48CA-8EEA-0941BD74774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0"/>
        <item x="4"/>
        <item x="1"/>
        <item x="5"/>
        <item x="3"/>
        <item x="6"/>
        <item t="default"/>
      </items>
    </pivotField>
    <pivotField axis="axisRow" dataField="1" showAll="0">
      <items count="6">
        <item x="1"/>
        <item x="3"/>
        <item x="2"/>
        <item h="1"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lumn9" fld="8" subtotal="count" showDataAs="percentOfTotal" baseField="0" baseItem="0" numFmtId="10"/>
  </dataFields>
  <formats count="1">
    <format dxfId="34">
      <pivotArea collapsedLevelsAreSubtotals="1" fieldPosition="0">
        <references count="1">
          <reference field="8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46DC1-251C-4D62-AFA2-C2D02DF95E6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2"/>
        <item h="1" x="0"/>
        <item x="4"/>
        <item x="1"/>
        <item x="5"/>
        <item x="3"/>
        <item h="1" x="6"/>
        <item t="default"/>
      </items>
    </pivotField>
    <pivotField showAll="0">
      <items count="6">
        <item x="1"/>
        <item x="3"/>
        <item x="2"/>
        <item x="0"/>
        <item x="4"/>
        <item t="default"/>
      </items>
    </pivotField>
    <pivotField showAll="0">
      <items count="25">
        <item x="15"/>
        <item x="18"/>
        <item x="20"/>
        <item x="11"/>
        <item x="14"/>
        <item x="0"/>
        <item x="8"/>
        <item x="16"/>
        <item x="9"/>
        <item x="22"/>
        <item x="19"/>
        <item x="13"/>
        <item x="17"/>
        <item x="10"/>
        <item x="21"/>
        <item x="12"/>
        <item x="2"/>
        <item x="1"/>
        <item x="3"/>
        <item x="4"/>
        <item x="5"/>
        <item x="7"/>
        <item x="6"/>
        <item x="23"/>
        <item t="default"/>
      </items>
    </pivotField>
    <pivotField showAll="0">
      <items count="6">
        <item x="1"/>
        <item h="1"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lumn8" fld="7" subtotal="count" showDataAs="percentOfTotal" baseField="0" baseItem="0" numFmtId="10"/>
  </dataFields>
  <formats count="1">
    <format dxfId="33">
      <pivotArea collapsedLevelsAreSubtotals="1" fieldPosition="0">
        <references count="1">
          <reference field="7" count="0"/>
        </references>
      </pivotArea>
    </format>
  </formats>
  <chartFormats count="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C52FA-2040-44C1-8FB5-B57D7B9470E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5">
        <item x="15"/>
        <item x="18"/>
        <item x="20"/>
        <item x="11"/>
        <item x="14"/>
        <item x="0"/>
        <item x="8"/>
        <item x="16"/>
        <item x="9"/>
        <item x="22"/>
        <item x="19"/>
        <item x="13"/>
        <item x="17"/>
        <item x="10"/>
        <item x="21"/>
        <item x="12"/>
        <item x="2"/>
        <item x="1"/>
        <item x="3"/>
        <item x="4"/>
        <item x="5"/>
        <item x="7"/>
        <item x="6"/>
        <item x="23"/>
        <item t="default"/>
      </items>
    </pivotField>
    <pivotField showAll="0"/>
    <pivotField axis="axisRow" dataField="1" showAll="0">
      <items count="12">
        <item x="5"/>
        <item x="2"/>
        <item x="4"/>
        <item x="3"/>
        <item h="1" x="8"/>
        <item h="1" x="0"/>
        <item h="1" x="6"/>
        <item h="1" x="7"/>
        <item h="1" x="10"/>
        <item h="1"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10"/>
    </i>
    <i t="grand">
      <x/>
    </i>
  </rowItems>
  <colItems count="1">
    <i/>
  </colItems>
  <dataFields count="1">
    <dataField name="Count of Column12" fld="11" subtotal="count" showDataAs="percentOfTotal" baseField="0" baseItem="0" numFmtId="10"/>
  </dataFields>
  <formats count="1">
    <format dxfId="32">
      <pivotArea collapsedLevelsAreSubtotals="1" fieldPosition="0">
        <references count="1">
          <reference field="11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6:AK44" headerRowCount="0" totalsRowCount="1">
  <tableColumns count="36">
    <tableColumn id="3" xr3:uid="{00000000-0010-0000-0000-000003000000}" name="Column3"/>
    <tableColumn id="8" xr3:uid="{00000000-0010-0000-0000-000008000000}" name="Column8"/>
    <tableColumn id="9" xr3:uid="{00000000-0010-0000-0000-000009000000}" name="Column9"/>
    <tableColumn id="11" xr3:uid="{00000000-0010-0000-0000-00000B000000}" name="Column11"/>
    <tableColumn id="12" xr3:uid="{00000000-0010-0000-0000-00000C000000}" name="Column12" totalsRowLabel="Spearman Correlation" totalsRowDxfId="31"/>
    <tableColumn id="13" xr3:uid="{00000000-0010-0000-0000-00000D000000}" name="Column13" totalsRowFunction="custom" totalsRowDxfId="30" totalsRowCellStyle="Percent">
      <totalsRowFormula>CORREL(G42:M42,G43:M43)</totalsRowFormula>
    </tableColumn>
    <tableColumn id="14" xr3:uid="{00000000-0010-0000-0000-00000E000000}" name="Column14" totalsRowDxfId="29"/>
    <tableColumn id="15" xr3:uid="{00000000-0010-0000-0000-00000F000000}" name="Column15" totalsRowDxfId="28"/>
    <tableColumn id="16" xr3:uid="{00000000-0010-0000-0000-000010000000}" name="Column16" totalsRowDxfId="27"/>
    <tableColumn id="17" xr3:uid="{00000000-0010-0000-0000-000011000000}" name="Column17" totalsRowDxfId="26"/>
    <tableColumn id="18" xr3:uid="{00000000-0010-0000-0000-000012000000}" name="Column18" totalsRowDxfId="25"/>
    <tableColumn id="19" xr3:uid="{00000000-0010-0000-0000-000013000000}" name="Column19" totalsRowDxfId="24"/>
    <tableColumn id="20" xr3:uid="{00000000-0010-0000-0000-000014000000}" name="Column20" totalsRowFunction="custom" totalsRowDxfId="23" totalsRowCellStyle="Percent">
      <totalsRowFormula>CORREL(N42:U42,N43:U43)</totalsRowFormula>
    </tableColumn>
    <tableColumn id="21" xr3:uid="{00000000-0010-0000-0000-000015000000}" name="Column21" totalsRowDxfId="22"/>
    <tableColumn id="22" xr3:uid="{00000000-0010-0000-0000-000016000000}" name="Column22" totalsRowDxfId="21"/>
    <tableColumn id="23" xr3:uid="{00000000-0010-0000-0000-000017000000}" name="Column23" totalsRowDxfId="20"/>
    <tableColumn id="24" xr3:uid="{00000000-0010-0000-0000-000018000000}" name="Column24" totalsRowDxfId="19"/>
    <tableColumn id="25" xr3:uid="{00000000-0010-0000-0000-000019000000}" name="Column25" totalsRowDxfId="18"/>
    <tableColumn id="26" xr3:uid="{00000000-0010-0000-0000-00001A000000}" name="Column26" totalsRowDxfId="17"/>
    <tableColumn id="27" xr3:uid="{00000000-0010-0000-0000-00001B000000}" name="Column27" totalsRowDxfId="16"/>
    <tableColumn id="28" xr3:uid="{00000000-0010-0000-0000-00001C000000}" name="Column28" totalsRowFunction="custom" totalsRowDxfId="15" totalsRowCellStyle="Percent">
      <totalsRowFormula>CORREL(V42:AC42,V43:AC43)</totalsRowFormula>
    </tableColumn>
    <tableColumn id="29" xr3:uid="{00000000-0010-0000-0000-00001D000000}" name="Column29" totalsRowDxfId="14"/>
    <tableColumn id="30" xr3:uid="{00000000-0010-0000-0000-00001E000000}" name="Column30" totalsRowDxfId="13"/>
    <tableColumn id="31" xr3:uid="{00000000-0010-0000-0000-00001F000000}" name="Column31" totalsRowDxfId="12"/>
    <tableColumn id="32" xr3:uid="{00000000-0010-0000-0000-000020000000}" name="Column32" totalsRowDxfId="11"/>
    <tableColumn id="33" xr3:uid="{00000000-0010-0000-0000-000021000000}" name="Column33" totalsRowDxfId="10"/>
    <tableColumn id="34" xr3:uid="{00000000-0010-0000-0000-000022000000}" name="Column34" totalsRowDxfId="9"/>
    <tableColumn id="35" xr3:uid="{00000000-0010-0000-0000-000023000000}" name="Column35" totalsRowDxfId="8"/>
    <tableColumn id="36" xr3:uid="{00000000-0010-0000-0000-000024000000}" name="Column36" totalsRowFunction="custom" totalsRowDxfId="7" totalsRowCellStyle="Percent">
      <totalsRowFormula>CORREL(AD42:AK42,AD43:AK43)</totalsRowFormula>
    </tableColumn>
    <tableColumn id="37" xr3:uid="{00000000-0010-0000-0000-000025000000}" name="Column37" totalsRowDxfId="6"/>
    <tableColumn id="38" xr3:uid="{00000000-0010-0000-0000-000026000000}" name="Column38" totalsRowDxfId="5"/>
    <tableColumn id="39" xr3:uid="{00000000-0010-0000-0000-000027000000}" name="Column39" totalsRowDxfId="4"/>
    <tableColumn id="40" xr3:uid="{00000000-0010-0000-0000-000028000000}" name="Column40" totalsRowDxfId="3"/>
    <tableColumn id="41" xr3:uid="{00000000-0010-0000-0000-000029000000}" name="Column41" totalsRowDxfId="2"/>
    <tableColumn id="42" xr3:uid="{00000000-0010-0000-0000-00002A000000}" name="Column42" totalsRowDxfId="1"/>
    <tableColumn id="43" xr3:uid="{00000000-0010-0000-0000-00002B000000}" name="Column43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5830-91C8-436F-9D37-86179E878B70}">
  <dimension ref="A3:C10"/>
  <sheetViews>
    <sheetView workbookViewId="0">
      <selection activeCell="B6" sqref="B6"/>
    </sheetView>
  </sheetViews>
  <sheetFormatPr defaultRowHeight="12.5" x14ac:dyDescent="0.25"/>
  <cols>
    <col min="1" max="1" width="18" bestFit="1" customWidth="1"/>
    <col min="2" max="2" width="15.6328125" bestFit="1" customWidth="1"/>
  </cols>
  <sheetData>
    <row r="3" spans="1:3" x14ac:dyDescent="0.25">
      <c r="A3" s="5" t="s">
        <v>34</v>
      </c>
      <c r="B3" s="6" t="s">
        <v>36</v>
      </c>
    </row>
    <row r="4" spans="1:3" x14ac:dyDescent="0.25">
      <c r="A4" s="7" t="s">
        <v>8</v>
      </c>
      <c r="B4" s="11">
        <v>0.5</v>
      </c>
      <c r="C4" s="10"/>
    </row>
    <row r="5" spans="1:3" x14ac:dyDescent="0.25">
      <c r="A5" s="8" t="s">
        <v>1</v>
      </c>
      <c r="B5" s="12">
        <v>3.125E-2</v>
      </c>
      <c r="C5" s="10"/>
    </row>
    <row r="6" spans="1:3" x14ac:dyDescent="0.25">
      <c r="A6" s="8" t="s">
        <v>16</v>
      </c>
      <c r="B6" s="12">
        <v>9.375E-2</v>
      </c>
      <c r="C6" s="10"/>
    </row>
    <row r="7" spans="1:3" x14ac:dyDescent="0.25">
      <c r="A7" s="8" t="s">
        <v>3</v>
      </c>
      <c r="B7" s="12">
        <v>0.3125</v>
      </c>
      <c r="C7" s="10"/>
    </row>
    <row r="8" spans="1:3" x14ac:dyDescent="0.25">
      <c r="A8" s="8" t="s">
        <v>20</v>
      </c>
      <c r="B8" s="12">
        <v>3.125E-2</v>
      </c>
      <c r="C8" s="10"/>
    </row>
    <row r="9" spans="1:3" x14ac:dyDescent="0.25">
      <c r="A9" s="8" t="s">
        <v>15</v>
      </c>
      <c r="B9" s="12">
        <v>3.125E-2</v>
      </c>
      <c r="C9" s="10"/>
    </row>
    <row r="10" spans="1:3" x14ac:dyDescent="0.25">
      <c r="A10" s="9" t="s">
        <v>35</v>
      </c>
      <c r="B10" s="1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AC8B-73BA-4344-B61F-AB32E7FFFFB7}">
  <dimension ref="A3:B7"/>
  <sheetViews>
    <sheetView workbookViewId="0">
      <selection activeCell="B22" sqref="B22"/>
    </sheetView>
  </sheetViews>
  <sheetFormatPr defaultRowHeight="12.5" x14ac:dyDescent="0.25"/>
  <cols>
    <col min="1" max="1" width="12.453125" bestFit="1" customWidth="1"/>
    <col min="2" max="2" width="15.6328125" bestFit="1" customWidth="1"/>
  </cols>
  <sheetData>
    <row r="3" spans="1:2" x14ac:dyDescent="0.25">
      <c r="A3" s="5" t="s">
        <v>34</v>
      </c>
      <c r="B3" s="6" t="s">
        <v>37</v>
      </c>
    </row>
    <row r="4" spans="1:2" x14ac:dyDescent="0.25">
      <c r="A4" s="7" t="s">
        <v>12</v>
      </c>
      <c r="B4" s="14">
        <v>0.5161290322580645</v>
      </c>
    </row>
    <row r="5" spans="1:2" x14ac:dyDescent="0.25">
      <c r="A5" s="8" t="s">
        <v>4</v>
      </c>
      <c r="B5" s="15">
        <v>9.6774193548387094E-2</v>
      </c>
    </row>
    <row r="6" spans="1:2" x14ac:dyDescent="0.25">
      <c r="A6" s="8" t="s">
        <v>9</v>
      </c>
      <c r="B6" s="15">
        <v>0.38709677419354838</v>
      </c>
    </row>
    <row r="7" spans="1:2" x14ac:dyDescent="0.25">
      <c r="A7" s="9" t="s">
        <v>35</v>
      </c>
      <c r="B7" s="1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7A2D-B988-484C-AD0A-B8AA24B81809}">
  <dimension ref="A3:B9"/>
  <sheetViews>
    <sheetView workbookViewId="0">
      <selection activeCell="I25" sqref="I25"/>
    </sheetView>
  </sheetViews>
  <sheetFormatPr defaultRowHeight="12.5" x14ac:dyDescent="0.25"/>
  <cols>
    <col min="1" max="1" width="16.54296875" bestFit="1" customWidth="1"/>
    <col min="2" max="2" width="15.08984375" bestFit="1" customWidth="1"/>
  </cols>
  <sheetData>
    <row r="3" spans="1:2" x14ac:dyDescent="0.25">
      <c r="A3" s="5" t="s">
        <v>34</v>
      </c>
      <c r="B3" s="6" t="s">
        <v>36</v>
      </c>
    </row>
    <row r="4" spans="1:2" x14ac:dyDescent="0.25">
      <c r="A4" s="7" t="s">
        <v>8</v>
      </c>
      <c r="B4" s="18">
        <v>0.5161290322580645</v>
      </c>
    </row>
    <row r="5" spans="1:2" x14ac:dyDescent="0.25">
      <c r="A5" s="8" t="s">
        <v>16</v>
      </c>
      <c r="B5" s="19">
        <v>9.6774193548387094E-2</v>
      </c>
    </row>
    <row r="6" spans="1:2" x14ac:dyDescent="0.25">
      <c r="A6" s="8" t="s">
        <v>3</v>
      </c>
      <c r="B6" s="19">
        <v>0.32258064516129031</v>
      </c>
    </row>
    <row r="7" spans="1:2" x14ac:dyDescent="0.25">
      <c r="A7" s="8" t="s">
        <v>20</v>
      </c>
      <c r="B7" s="19">
        <v>3.2258064516129031E-2</v>
      </c>
    </row>
    <row r="8" spans="1:2" x14ac:dyDescent="0.25">
      <c r="A8" s="8" t="s">
        <v>15</v>
      </c>
      <c r="B8" s="19">
        <v>3.2258064516129031E-2</v>
      </c>
    </row>
    <row r="9" spans="1:2" x14ac:dyDescent="0.25">
      <c r="A9" s="9" t="s">
        <v>35</v>
      </c>
      <c r="B9" s="1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490F-6890-4213-A079-F7C1A0D29F86}">
  <dimension ref="A3:G15"/>
  <sheetViews>
    <sheetView workbookViewId="0">
      <selection activeCell="E19" sqref="E19"/>
    </sheetView>
  </sheetViews>
  <sheetFormatPr defaultRowHeight="12.5" x14ac:dyDescent="0.25"/>
  <cols>
    <col min="1" max="1" width="12.81640625" bestFit="1" customWidth="1"/>
    <col min="2" max="2" width="16.6328125" bestFit="1" customWidth="1"/>
    <col min="6" max="6" width="12.81640625" bestFit="1" customWidth="1"/>
  </cols>
  <sheetData>
    <row r="3" spans="1:7" x14ac:dyDescent="0.25">
      <c r="A3" s="5" t="s">
        <v>34</v>
      </c>
      <c r="B3" s="6" t="s">
        <v>38</v>
      </c>
    </row>
    <row r="4" spans="1:7" x14ac:dyDescent="0.25">
      <c r="A4" s="7" t="s">
        <v>23</v>
      </c>
      <c r="B4" s="14">
        <v>3.2258064516129031E-2</v>
      </c>
    </row>
    <row r="5" spans="1:7" x14ac:dyDescent="0.25">
      <c r="A5" s="8" t="s">
        <v>19</v>
      </c>
      <c r="B5" s="15">
        <v>0.32258064516129031</v>
      </c>
    </row>
    <row r="6" spans="1:7" x14ac:dyDescent="0.25">
      <c r="A6" s="8" t="s">
        <v>6</v>
      </c>
      <c r="B6" s="15">
        <v>6.4516129032258063E-2</v>
      </c>
    </row>
    <row r="7" spans="1:7" x14ac:dyDescent="0.25">
      <c r="A7" s="8" t="s">
        <v>14</v>
      </c>
      <c r="B7" s="15">
        <v>0.16129032258064516</v>
      </c>
    </row>
    <row r="8" spans="1:7" x14ac:dyDescent="0.25">
      <c r="A8" s="8" t="s">
        <v>11</v>
      </c>
      <c r="B8" s="15">
        <v>0.41935483870967744</v>
      </c>
    </row>
    <row r="9" spans="1:7" x14ac:dyDescent="0.25">
      <c r="A9" s="9" t="s">
        <v>35</v>
      </c>
      <c r="B9" s="13">
        <v>1</v>
      </c>
    </row>
    <row r="11" spans="1:7" x14ac:dyDescent="0.25">
      <c r="F11" t="s">
        <v>19</v>
      </c>
      <c r="G11" s="10">
        <v>0.32258064516129031</v>
      </c>
    </row>
    <row r="12" spans="1:7" x14ac:dyDescent="0.25">
      <c r="F12" t="s">
        <v>11</v>
      </c>
      <c r="G12" s="10">
        <v>0.41935483870967744</v>
      </c>
    </row>
    <row r="13" spans="1:7" x14ac:dyDescent="0.25">
      <c r="F13" t="s">
        <v>14</v>
      </c>
      <c r="G13" s="10">
        <v>0.16129032258064516</v>
      </c>
    </row>
    <row r="14" spans="1:7" x14ac:dyDescent="0.25">
      <c r="F14" t="s">
        <v>6</v>
      </c>
      <c r="G14" s="10">
        <v>6.4516129032258063E-2</v>
      </c>
    </row>
    <row r="15" spans="1:7" x14ac:dyDescent="0.25">
      <c r="F15" t="s">
        <v>23</v>
      </c>
      <c r="G15" s="10">
        <v>3.2258064516129031E-2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61"/>
  <sheetViews>
    <sheetView tabSelected="1" topLeftCell="A41" zoomScale="115" zoomScaleNormal="115" workbookViewId="0">
      <selection activeCell="E64" sqref="E64"/>
    </sheetView>
  </sheetViews>
  <sheetFormatPr defaultColWidth="12.6328125" defaultRowHeight="15.75" customHeight="1" x14ac:dyDescent="0.25"/>
  <cols>
    <col min="1" max="1" width="3.81640625" customWidth="1"/>
    <col min="2" max="2" width="6.90625" bestFit="1" customWidth="1"/>
    <col min="3" max="3" width="27.26953125" bestFit="1" customWidth="1"/>
    <col min="4" max="4" width="18.1796875" bestFit="1" customWidth="1"/>
    <col min="5" max="5" width="17.54296875" bestFit="1" customWidth="1"/>
    <col min="6" max="6" width="37.26953125" bestFit="1" customWidth="1"/>
    <col min="7" max="8" width="5.54296875" bestFit="1" customWidth="1"/>
    <col min="9" max="9" width="5.08984375" bestFit="1" customWidth="1"/>
    <col min="10" max="15" width="5.54296875" bestFit="1" customWidth="1"/>
    <col min="16" max="16" width="5.08984375" bestFit="1" customWidth="1"/>
    <col min="17" max="22" width="5.54296875" bestFit="1" customWidth="1"/>
    <col min="23" max="24" width="4.54296875" bestFit="1" customWidth="1"/>
    <col min="25" max="27" width="5.54296875" bestFit="1" customWidth="1"/>
    <col min="28" max="29" width="4.54296875" bestFit="1" customWidth="1"/>
    <col min="30" max="30" width="5.453125" bestFit="1" customWidth="1"/>
    <col min="31" max="32" width="4.54296875" bestFit="1" customWidth="1"/>
    <col min="33" max="33" width="5.54296875" bestFit="1" customWidth="1"/>
    <col min="34" max="34" width="4.54296875" bestFit="1" customWidth="1"/>
    <col min="35" max="35" width="5.54296875" bestFit="1" customWidth="1"/>
    <col min="36" max="37" width="4.54296875" bestFit="1" customWidth="1"/>
    <col min="38" max="43" width="18.90625" customWidth="1"/>
  </cols>
  <sheetData>
    <row r="1" spans="2:37" ht="15.75" customHeight="1" thickBot="1" x14ac:dyDescent="0.3"/>
    <row r="2" spans="2:37" ht="28.5" customHeight="1" x14ac:dyDescent="0.25">
      <c r="B2" s="104" t="s">
        <v>77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6"/>
    </row>
    <row r="3" spans="2:37" ht="14.5" thickBot="1" x14ac:dyDescent="0.3">
      <c r="B3" s="107" t="s">
        <v>78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9"/>
    </row>
    <row r="4" spans="2:37" ht="17.5" customHeight="1" thickBot="1" x14ac:dyDescent="0.3"/>
    <row r="5" spans="2:37" ht="17.5" customHeight="1" thickBot="1" x14ac:dyDescent="0.3">
      <c r="G5" s="91" t="s">
        <v>63</v>
      </c>
      <c r="H5" s="92"/>
      <c r="I5" s="92"/>
      <c r="J5" s="92"/>
      <c r="K5" s="92"/>
      <c r="L5" s="92"/>
      <c r="M5" s="92"/>
      <c r="N5" s="93" t="s">
        <v>72</v>
      </c>
      <c r="O5" s="92"/>
      <c r="P5" s="92"/>
      <c r="Q5" s="92"/>
      <c r="R5" s="92"/>
      <c r="S5" s="92"/>
      <c r="T5" s="92"/>
      <c r="U5" s="92"/>
      <c r="V5" s="93" t="s">
        <v>31</v>
      </c>
      <c r="W5" s="92"/>
      <c r="X5" s="92"/>
      <c r="Y5" s="92"/>
      <c r="Z5" s="92"/>
      <c r="AA5" s="92"/>
      <c r="AB5" s="92"/>
      <c r="AC5" s="92"/>
      <c r="AD5" s="93" t="s">
        <v>30</v>
      </c>
      <c r="AE5" s="92"/>
      <c r="AF5" s="92"/>
      <c r="AG5" s="92"/>
      <c r="AH5" s="92"/>
      <c r="AI5" s="92"/>
      <c r="AJ5" s="92"/>
      <c r="AK5" s="94"/>
    </row>
    <row r="6" spans="2:37" ht="25" x14ac:dyDescent="0.25">
      <c r="B6" s="47" t="s">
        <v>0</v>
      </c>
      <c r="C6" s="48" t="s">
        <v>1</v>
      </c>
      <c r="D6" s="49" t="s">
        <v>74</v>
      </c>
      <c r="E6" s="49" t="s">
        <v>73</v>
      </c>
      <c r="F6" s="49" t="s">
        <v>58</v>
      </c>
      <c r="G6" s="54" t="s">
        <v>39</v>
      </c>
      <c r="H6" s="54" t="s">
        <v>40</v>
      </c>
      <c r="I6" s="54" t="s">
        <v>41</v>
      </c>
      <c r="J6" s="54" t="s">
        <v>59</v>
      </c>
      <c r="K6" s="54" t="s">
        <v>60</v>
      </c>
      <c r="L6" s="54" t="s">
        <v>61</v>
      </c>
      <c r="M6" s="54" t="s">
        <v>62</v>
      </c>
      <c r="N6" s="54" t="s">
        <v>42</v>
      </c>
      <c r="O6" s="54" t="s">
        <v>43</v>
      </c>
      <c r="P6" s="54" t="s">
        <v>44</v>
      </c>
      <c r="Q6" s="54" t="s">
        <v>45</v>
      </c>
      <c r="R6" s="54" t="s">
        <v>59</v>
      </c>
      <c r="S6" s="54" t="s">
        <v>60</v>
      </c>
      <c r="T6" s="54" t="s">
        <v>61</v>
      </c>
      <c r="U6" s="54" t="s">
        <v>62</v>
      </c>
      <c r="V6" s="54" t="s">
        <v>46</v>
      </c>
      <c r="W6" s="54" t="s">
        <v>47</v>
      </c>
      <c r="X6" s="54" t="s">
        <v>48</v>
      </c>
      <c r="Y6" s="54" t="s">
        <v>49</v>
      </c>
      <c r="Z6" s="54" t="s">
        <v>59</v>
      </c>
      <c r="AA6" s="54" t="s">
        <v>60</v>
      </c>
      <c r="AB6" s="54" t="s">
        <v>61</v>
      </c>
      <c r="AC6" s="54" t="s">
        <v>62</v>
      </c>
      <c r="AD6" s="54" t="s">
        <v>50</v>
      </c>
      <c r="AE6" s="54" t="s">
        <v>51</v>
      </c>
      <c r="AF6" s="54" t="s">
        <v>52</v>
      </c>
      <c r="AG6" s="54" t="s">
        <v>53</v>
      </c>
      <c r="AH6" s="54" t="s">
        <v>59</v>
      </c>
      <c r="AI6" s="54" t="s">
        <v>60</v>
      </c>
      <c r="AJ6" s="54" t="s">
        <v>61</v>
      </c>
      <c r="AK6" s="55" t="s">
        <v>62</v>
      </c>
    </row>
    <row r="7" spans="2:37" s="40" customFormat="1" ht="12.5" x14ac:dyDescent="0.25">
      <c r="B7" s="38" t="s">
        <v>7</v>
      </c>
      <c r="C7" s="39" t="s">
        <v>3</v>
      </c>
      <c r="D7" s="39" t="s">
        <v>12</v>
      </c>
      <c r="E7" s="39" t="s">
        <v>18</v>
      </c>
      <c r="F7" s="39" t="s">
        <v>11</v>
      </c>
      <c r="G7" s="22">
        <v>1</v>
      </c>
      <c r="H7" s="22">
        <v>1</v>
      </c>
      <c r="I7" s="22">
        <v>0.4</v>
      </c>
      <c r="J7" s="22">
        <v>1</v>
      </c>
      <c r="K7" s="22">
        <v>0.9</v>
      </c>
      <c r="L7" s="22">
        <v>1</v>
      </c>
      <c r="M7" s="22">
        <v>1</v>
      </c>
      <c r="N7" s="23">
        <v>0.1</v>
      </c>
      <c r="O7" s="22">
        <v>1</v>
      </c>
      <c r="P7" s="22">
        <v>0.8</v>
      </c>
      <c r="Q7" s="22">
        <v>0.9</v>
      </c>
      <c r="R7" s="23">
        <v>0.9</v>
      </c>
      <c r="S7" s="23">
        <v>0.9</v>
      </c>
      <c r="T7" s="23">
        <v>1</v>
      </c>
      <c r="U7" s="23">
        <v>1</v>
      </c>
      <c r="V7" s="20">
        <v>0</v>
      </c>
      <c r="W7" s="20">
        <v>0.1</v>
      </c>
      <c r="X7" s="20">
        <v>0.4</v>
      </c>
      <c r="Y7" s="20">
        <v>1</v>
      </c>
      <c r="Z7" s="20">
        <v>0.4</v>
      </c>
      <c r="AA7" s="20">
        <v>1</v>
      </c>
      <c r="AB7" s="20">
        <v>0.5</v>
      </c>
      <c r="AC7" s="20">
        <v>0.4</v>
      </c>
      <c r="AD7" s="20">
        <v>0</v>
      </c>
      <c r="AE7" s="20">
        <v>0.2</v>
      </c>
      <c r="AF7" s="20">
        <v>0.4</v>
      </c>
      <c r="AG7" s="20">
        <v>0.6</v>
      </c>
      <c r="AH7" s="20">
        <v>0.4</v>
      </c>
      <c r="AI7" s="20">
        <v>0.8</v>
      </c>
      <c r="AJ7" s="20">
        <v>0.4</v>
      </c>
      <c r="AK7" s="35">
        <v>0.2</v>
      </c>
    </row>
    <row r="8" spans="2:37" s="40" customFormat="1" ht="12.5" x14ac:dyDescent="0.25">
      <c r="B8" s="38" t="s">
        <v>2</v>
      </c>
      <c r="C8" s="39" t="s">
        <v>8</v>
      </c>
      <c r="D8" s="41" t="s">
        <v>9</v>
      </c>
      <c r="E8" s="39" t="s">
        <v>18</v>
      </c>
      <c r="F8" s="39" t="s">
        <v>11</v>
      </c>
      <c r="G8" s="22">
        <v>1</v>
      </c>
      <c r="H8" s="22">
        <v>0.7</v>
      </c>
      <c r="I8" s="22">
        <v>0</v>
      </c>
      <c r="J8" s="22">
        <v>1</v>
      </c>
      <c r="K8" s="22">
        <v>0.9</v>
      </c>
      <c r="L8" s="22">
        <v>0.9</v>
      </c>
      <c r="M8" s="22">
        <v>0.9</v>
      </c>
      <c r="N8" s="23">
        <v>0</v>
      </c>
      <c r="O8" s="22">
        <v>1</v>
      </c>
      <c r="P8" s="22">
        <v>0.6</v>
      </c>
      <c r="Q8" s="22">
        <v>0.2</v>
      </c>
      <c r="R8" s="23">
        <v>1</v>
      </c>
      <c r="S8" s="23">
        <v>0.6</v>
      </c>
      <c r="T8" s="23">
        <v>1</v>
      </c>
      <c r="U8" s="23">
        <v>1</v>
      </c>
      <c r="V8" s="20">
        <v>0</v>
      </c>
      <c r="W8" s="20">
        <v>0.2</v>
      </c>
      <c r="X8" s="20">
        <v>0.5</v>
      </c>
      <c r="Y8" s="20">
        <v>1</v>
      </c>
      <c r="Z8" s="20">
        <v>0</v>
      </c>
      <c r="AA8" s="20">
        <v>1</v>
      </c>
      <c r="AB8" s="20">
        <v>0.5</v>
      </c>
      <c r="AC8" s="20">
        <v>0.2</v>
      </c>
      <c r="AD8" s="20">
        <v>0</v>
      </c>
      <c r="AE8" s="20">
        <v>0.3</v>
      </c>
      <c r="AF8" s="20">
        <v>0.5</v>
      </c>
      <c r="AG8" s="20">
        <v>1</v>
      </c>
      <c r="AH8" s="20">
        <v>0.8</v>
      </c>
      <c r="AI8" s="20">
        <v>0.9</v>
      </c>
      <c r="AJ8" s="20">
        <v>0.5</v>
      </c>
      <c r="AK8" s="35">
        <v>0.2</v>
      </c>
    </row>
    <row r="9" spans="2:37" s="40" customFormat="1" ht="12.5" x14ac:dyDescent="0.25">
      <c r="B9" s="38" t="s">
        <v>2</v>
      </c>
      <c r="C9" s="39" t="s">
        <v>8</v>
      </c>
      <c r="D9" s="41" t="s">
        <v>9</v>
      </c>
      <c r="E9" s="39" t="s">
        <v>10</v>
      </c>
      <c r="F9" s="39" t="s">
        <v>11</v>
      </c>
      <c r="G9" s="22">
        <v>1</v>
      </c>
      <c r="H9" s="22">
        <v>0.5</v>
      </c>
      <c r="I9" s="22">
        <v>0</v>
      </c>
      <c r="J9" s="22">
        <v>1</v>
      </c>
      <c r="K9" s="22">
        <v>0.1</v>
      </c>
      <c r="L9" s="22">
        <v>1</v>
      </c>
      <c r="M9" s="22">
        <v>1</v>
      </c>
      <c r="N9" s="23">
        <v>0</v>
      </c>
      <c r="O9" s="22">
        <v>1</v>
      </c>
      <c r="P9" s="22">
        <v>0.2</v>
      </c>
      <c r="Q9" s="22">
        <v>0</v>
      </c>
      <c r="R9" s="23">
        <v>1</v>
      </c>
      <c r="S9" s="23">
        <v>0.5</v>
      </c>
      <c r="T9" s="23">
        <v>1</v>
      </c>
      <c r="U9" s="23">
        <v>1</v>
      </c>
      <c r="V9" s="20">
        <v>0.1</v>
      </c>
      <c r="W9" s="20">
        <v>0.2</v>
      </c>
      <c r="X9" s="20">
        <v>0.8</v>
      </c>
      <c r="Y9" s="20">
        <v>1</v>
      </c>
      <c r="Z9" s="20">
        <v>0.6</v>
      </c>
      <c r="AA9" s="20">
        <v>1</v>
      </c>
      <c r="AB9" s="20">
        <v>0.3</v>
      </c>
      <c r="AC9" s="20">
        <v>0.2</v>
      </c>
      <c r="AD9" s="20">
        <v>0.1</v>
      </c>
      <c r="AE9" s="20">
        <v>0.4</v>
      </c>
      <c r="AF9" s="20">
        <v>0.7</v>
      </c>
      <c r="AG9" s="20">
        <v>1</v>
      </c>
      <c r="AH9" s="20">
        <v>0.8</v>
      </c>
      <c r="AI9" s="20">
        <v>1</v>
      </c>
      <c r="AJ9" s="20">
        <v>0.6</v>
      </c>
      <c r="AK9" s="35">
        <v>0</v>
      </c>
    </row>
    <row r="10" spans="2:37" s="40" customFormat="1" ht="12.5" x14ac:dyDescent="0.25">
      <c r="B10" s="38" t="s">
        <v>7</v>
      </c>
      <c r="C10" s="39" t="s">
        <v>3</v>
      </c>
      <c r="D10" s="39" t="s">
        <v>12</v>
      </c>
      <c r="E10" s="39" t="s">
        <v>18</v>
      </c>
      <c r="F10" s="39" t="s">
        <v>19</v>
      </c>
      <c r="G10" s="22">
        <v>0.5</v>
      </c>
      <c r="H10" s="22">
        <v>0.7</v>
      </c>
      <c r="I10" s="22">
        <v>0.2</v>
      </c>
      <c r="J10" s="22">
        <v>0.6</v>
      </c>
      <c r="K10" s="22">
        <v>1</v>
      </c>
      <c r="L10" s="22">
        <v>0.6</v>
      </c>
      <c r="M10" s="22">
        <v>0.3</v>
      </c>
      <c r="N10" s="23">
        <v>0</v>
      </c>
      <c r="O10" s="22">
        <v>0.2</v>
      </c>
      <c r="P10" s="22">
        <v>0.4</v>
      </c>
      <c r="Q10" s="22">
        <v>0.5</v>
      </c>
      <c r="R10" s="23">
        <v>0.3</v>
      </c>
      <c r="S10" s="23">
        <v>0.8</v>
      </c>
      <c r="T10" s="23">
        <v>0.3</v>
      </c>
      <c r="U10" s="23">
        <v>0</v>
      </c>
      <c r="V10" s="20">
        <v>0.1</v>
      </c>
      <c r="W10" s="20">
        <v>0.3</v>
      </c>
      <c r="X10" s="20">
        <v>0.6</v>
      </c>
      <c r="Y10" s="20">
        <v>0.9</v>
      </c>
      <c r="Z10" s="20">
        <v>0.2</v>
      </c>
      <c r="AA10" s="20">
        <v>0.9</v>
      </c>
      <c r="AB10" s="20">
        <v>0.6</v>
      </c>
      <c r="AC10" s="20">
        <v>0.5</v>
      </c>
      <c r="AD10" s="20">
        <v>0.1</v>
      </c>
      <c r="AE10" s="20">
        <v>0.1</v>
      </c>
      <c r="AF10" s="20">
        <v>0.3</v>
      </c>
      <c r="AG10" s="20">
        <v>0.3</v>
      </c>
      <c r="AH10" s="20">
        <v>0.3</v>
      </c>
      <c r="AI10" s="20">
        <v>0.6</v>
      </c>
      <c r="AJ10" s="20">
        <v>0.7</v>
      </c>
      <c r="AK10" s="35">
        <v>0.5</v>
      </c>
    </row>
    <row r="11" spans="2:37" s="40" customFormat="1" ht="12.5" x14ac:dyDescent="0.25">
      <c r="B11" s="38" t="s">
        <v>7</v>
      </c>
      <c r="C11" s="39" t="s">
        <v>3</v>
      </c>
      <c r="D11" s="41" t="s">
        <v>9</v>
      </c>
      <c r="E11" s="39" t="s">
        <v>13</v>
      </c>
      <c r="F11" s="39" t="s">
        <v>11</v>
      </c>
      <c r="G11" s="22">
        <v>1</v>
      </c>
      <c r="H11" s="22">
        <v>0.5</v>
      </c>
      <c r="I11" s="22">
        <v>0.3</v>
      </c>
      <c r="J11" s="22">
        <v>0.9</v>
      </c>
      <c r="K11" s="22">
        <v>0.8</v>
      </c>
      <c r="L11" s="22">
        <v>1</v>
      </c>
      <c r="M11" s="22">
        <v>1</v>
      </c>
      <c r="N11" s="23">
        <v>0.1</v>
      </c>
      <c r="O11" s="22">
        <v>1</v>
      </c>
      <c r="P11" s="22">
        <v>0.4</v>
      </c>
      <c r="Q11" s="22">
        <v>0.6</v>
      </c>
      <c r="R11" s="23">
        <v>0.9</v>
      </c>
      <c r="S11" s="23">
        <v>0.9</v>
      </c>
      <c r="T11" s="23">
        <v>1</v>
      </c>
      <c r="U11" s="23">
        <v>1</v>
      </c>
      <c r="V11" s="20">
        <v>0.1</v>
      </c>
      <c r="W11" s="20">
        <v>0.2</v>
      </c>
      <c r="X11" s="20">
        <v>0.6</v>
      </c>
      <c r="Y11" s="20">
        <v>0.8</v>
      </c>
      <c r="Z11" s="20">
        <v>0.8</v>
      </c>
      <c r="AA11" s="20">
        <v>0.9</v>
      </c>
      <c r="AB11" s="20">
        <v>0.4</v>
      </c>
      <c r="AC11" s="20">
        <v>0.5</v>
      </c>
      <c r="AD11" s="20">
        <v>0.1</v>
      </c>
      <c r="AE11" s="20">
        <v>0.3</v>
      </c>
      <c r="AF11" s="20">
        <v>0.4</v>
      </c>
      <c r="AG11" s="20">
        <v>0.6</v>
      </c>
      <c r="AH11" s="20">
        <v>0.8</v>
      </c>
      <c r="AI11" s="20">
        <v>0.9</v>
      </c>
      <c r="AJ11" s="20">
        <v>0.6</v>
      </c>
      <c r="AK11" s="35">
        <v>0.7</v>
      </c>
    </row>
    <row r="12" spans="2:37" s="40" customFormat="1" ht="12.5" x14ac:dyDescent="0.25">
      <c r="B12" s="38" t="s">
        <v>2</v>
      </c>
      <c r="C12" s="39" t="s">
        <v>8</v>
      </c>
      <c r="D12" s="39" t="s">
        <v>12</v>
      </c>
      <c r="E12" s="39" t="s">
        <v>18</v>
      </c>
      <c r="F12" s="39" t="s">
        <v>19</v>
      </c>
      <c r="G12" s="22">
        <v>0.9</v>
      </c>
      <c r="H12" s="22">
        <v>0.8</v>
      </c>
      <c r="I12" s="22">
        <v>0.3</v>
      </c>
      <c r="J12" s="22">
        <v>0.9</v>
      </c>
      <c r="K12" s="22">
        <v>0.8</v>
      </c>
      <c r="L12" s="22">
        <v>1</v>
      </c>
      <c r="M12" s="22">
        <v>1</v>
      </c>
      <c r="N12" s="23">
        <v>0.7</v>
      </c>
      <c r="O12" s="22">
        <v>0.9</v>
      </c>
      <c r="P12" s="22">
        <v>0.3</v>
      </c>
      <c r="Q12" s="22">
        <v>0.5</v>
      </c>
      <c r="R12" s="23">
        <v>0.8</v>
      </c>
      <c r="S12" s="23">
        <v>0.8</v>
      </c>
      <c r="T12" s="23">
        <v>0.9</v>
      </c>
      <c r="U12" s="23">
        <v>0.9</v>
      </c>
      <c r="V12" s="20">
        <v>0.9</v>
      </c>
      <c r="W12" s="20">
        <v>0.8</v>
      </c>
      <c r="X12" s="20">
        <v>0.7</v>
      </c>
      <c r="Y12" s="20">
        <v>0.8</v>
      </c>
      <c r="Z12" s="20">
        <v>0.9</v>
      </c>
      <c r="AA12" s="20">
        <v>0.9</v>
      </c>
      <c r="AB12" s="20">
        <v>0.9</v>
      </c>
      <c r="AC12" s="20">
        <v>0.9</v>
      </c>
      <c r="AD12" s="20">
        <v>0</v>
      </c>
      <c r="AE12" s="20">
        <v>0.1</v>
      </c>
      <c r="AF12" s="20">
        <v>0.2</v>
      </c>
      <c r="AG12" s="20">
        <v>0.7</v>
      </c>
      <c r="AH12" s="20">
        <v>0.8</v>
      </c>
      <c r="AI12" s="20">
        <v>1</v>
      </c>
      <c r="AJ12" s="20">
        <v>0.7</v>
      </c>
      <c r="AK12" s="35">
        <v>0.7</v>
      </c>
    </row>
    <row r="13" spans="2:37" s="40" customFormat="1" ht="12.5" x14ac:dyDescent="0.25">
      <c r="B13" s="42" t="s">
        <v>2</v>
      </c>
      <c r="C13" s="39" t="s">
        <v>8</v>
      </c>
      <c r="D13" s="39" t="s">
        <v>12</v>
      </c>
      <c r="E13" s="20" t="s">
        <v>18</v>
      </c>
      <c r="F13" s="20" t="s">
        <v>19</v>
      </c>
      <c r="G13" s="22">
        <v>1</v>
      </c>
      <c r="H13" s="22">
        <v>0.8</v>
      </c>
      <c r="I13" s="22">
        <v>0.5</v>
      </c>
      <c r="J13" s="22">
        <v>0.9</v>
      </c>
      <c r="K13" s="22">
        <v>0.7</v>
      </c>
      <c r="L13" s="22">
        <v>0.8</v>
      </c>
      <c r="M13" s="22">
        <v>0.8</v>
      </c>
      <c r="N13" s="23">
        <v>0.1</v>
      </c>
      <c r="O13" s="22">
        <v>0.9</v>
      </c>
      <c r="P13" s="22">
        <v>0.4</v>
      </c>
      <c r="Q13" s="22">
        <v>0.5</v>
      </c>
      <c r="R13" s="23">
        <v>0.8</v>
      </c>
      <c r="S13" s="23">
        <v>0.8</v>
      </c>
      <c r="T13" s="23">
        <v>0.8</v>
      </c>
      <c r="U13" s="23">
        <v>0.9</v>
      </c>
      <c r="V13" s="20">
        <v>0.3</v>
      </c>
      <c r="W13" s="20">
        <v>0.4</v>
      </c>
      <c r="X13" s="20">
        <v>0.6</v>
      </c>
      <c r="Y13" s="20">
        <v>0.7</v>
      </c>
      <c r="Z13" s="20">
        <v>0.5</v>
      </c>
      <c r="AA13" s="20">
        <v>0.6</v>
      </c>
      <c r="AB13" s="20">
        <v>0.5</v>
      </c>
      <c r="AC13" s="20">
        <v>0.5</v>
      </c>
      <c r="AD13" s="20">
        <v>0.3</v>
      </c>
      <c r="AE13" s="20">
        <v>0.5</v>
      </c>
      <c r="AF13" s="20">
        <v>0.6</v>
      </c>
      <c r="AG13" s="20">
        <v>0.7</v>
      </c>
      <c r="AH13" s="20">
        <v>0.5</v>
      </c>
      <c r="AI13" s="20">
        <v>0.6</v>
      </c>
      <c r="AJ13" s="20">
        <v>0.5</v>
      </c>
      <c r="AK13" s="35">
        <v>0.4</v>
      </c>
    </row>
    <row r="14" spans="2:37" s="40" customFormat="1" ht="12.5" x14ac:dyDescent="0.25">
      <c r="B14" s="43" t="s">
        <v>7</v>
      </c>
      <c r="C14" s="39" t="s">
        <v>8</v>
      </c>
      <c r="D14" s="41" t="s">
        <v>9</v>
      </c>
      <c r="E14" s="39" t="s">
        <v>10</v>
      </c>
      <c r="F14" s="39" t="s">
        <v>11</v>
      </c>
      <c r="G14" s="22">
        <v>1</v>
      </c>
      <c r="H14" s="22">
        <v>1</v>
      </c>
      <c r="I14" s="22">
        <v>0</v>
      </c>
      <c r="J14" s="22">
        <v>1</v>
      </c>
      <c r="K14" s="22">
        <v>1</v>
      </c>
      <c r="L14" s="22">
        <v>1</v>
      </c>
      <c r="M14" s="22">
        <v>1</v>
      </c>
      <c r="N14" s="23">
        <v>0.7</v>
      </c>
      <c r="O14" s="22">
        <v>0.6</v>
      </c>
      <c r="P14" s="22">
        <v>0.3</v>
      </c>
      <c r="Q14" s="22">
        <v>0</v>
      </c>
      <c r="R14" s="23">
        <v>0.9</v>
      </c>
      <c r="S14" s="23">
        <v>0.9</v>
      </c>
      <c r="T14" s="23">
        <v>0.9</v>
      </c>
      <c r="U14" s="23">
        <v>1</v>
      </c>
      <c r="V14" s="20">
        <v>0</v>
      </c>
      <c r="W14" s="20">
        <v>0.1</v>
      </c>
      <c r="X14" s="20">
        <v>0.2</v>
      </c>
      <c r="Y14" s="20">
        <v>0.5</v>
      </c>
      <c r="Z14" s="20">
        <v>0.1</v>
      </c>
      <c r="AA14" s="20">
        <v>0.9</v>
      </c>
      <c r="AB14" s="20">
        <v>0.2</v>
      </c>
      <c r="AC14" s="20">
        <v>0.1</v>
      </c>
      <c r="AD14" s="20">
        <v>0</v>
      </c>
      <c r="AE14" s="20">
        <v>0.1</v>
      </c>
      <c r="AF14" s="20">
        <v>0.2</v>
      </c>
      <c r="AG14" s="20">
        <v>0.2</v>
      </c>
      <c r="AH14" s="20">
        <v>0.3</v>
      </c>
      <c r="AI14" s="20">
        <v>0.6</v>
      </c>
      <c r="AJ14" s="20">
        <v>0</v>
      </c>
      <c r="AK14" s="35">
        <v>0.1</v>
      </c>
    </row>
    <row r="15" spans="2:37" s="40" customFormat="1" ht="12.5" x14ac:dyDescent="0.25">
      <c r="B15" s="43" t="s">
        <v>2</v>
      </c>
      <c r="C15" s="39" t="s">
        <v>3</v>
      </c>
      <c r="D15" s="39" t="s">
        <v>12</v>
      </c>
      <c r="E15" s="39" t="s">
        <v>13</v>
      </c>
      <c r="F15" s="39" t="s">
        <v>11</v>
      </c>
      <c r="G15" s="22">
        <v>1</v>
      </c>
      <c r="H15" s="22">
        <v>0.8</v>
      </c>
      <c r="I15" s="22">
        <v>0.2</v>
      </c>
      <c r="J15" s="22">
        <v>1</v>
      </c>
      <c r="K15" s="22">
        <v>0.5</v>
      </c>
      <c r="L15" s="22">
        <v>0.7</v>
      </c>
      <c r="M15" s="22">
        <v>0.7</v>
      </c>
      <c r="N15" s="23">
        <v>0.1</v>
      </c>
      <c r="O15" s="22">
        <v>1</v>
      </c>
      <c r="P15" s="22">
        <v>0.4</v>
      </c>
      <c r="Q15" s="22">
        <v>0.6</v>
      </c>
      <c r="R15" s="23">
        <v>0.8</v>
      </c>
      <c r="S15" s="23">
        <v>0.7</v>
      </c>
      <c r="T15" s="23">
        <v>1</v>
      </c>
      <c r="U15" s="23">
        <v>1</v>
      </c>
      <c r="V15" s="20">
        <v>0</v>
      </c>
      <c r="W15" s="20">
        <v>0.2</v>
      </c>
      <c r="X15" s="20">
        <v>0.3</v>
      </c>
      <c r="Y15" s="20">
        <v>0.6</v>
      </c>
      <c r="Z15" s="20">
        <v>0.8</v>
      </c>
      <c r="AA15" s="20">
        <v>0.9</v>
      </c>
      <c r="AB15" s="20">
        <v>0.5</v>
      </c>
      <c r="AC15" s="20">
        <v>0.4</v>
      </c>
      <c r="AD15" s="20">
        <v>0</v>
      </c>
      <c r="AE15" s="20">
        <v>0.2</v>
      </c>
      <c r="AF15" s="20">
        <v>0.3</v>
      </c>
      <c r="AG15" s="20">
        <v>0.5</v>
      </c>
      <c r="AH15" s="20">
        <v>0.6</v>
      </c>
      <c r="AI15" s="20">
        <v>0.8</v>
      </c>
      <c r="AJ15" s="20">
        <v>0.5</v>
      </c>
      <c r="AK15" s="35">
        <v>0.3</v>
      </c>
    </row>
    <row r="16" spans="2:37" s="40" customFormat="1" ht="12.5" x14ac:dyDescent="0.25">
      <c r="B16" s="43" t="s">
        <v>7</v>
      </c>
      <c r="C16" s="39" t="s">
        <v>3</v>
      </c>
      <c r="D16" s="41" t="s">
        <v>4</v>
      </c>
      <c r="E16" s="39" t="s">
        <v>13</v>
      </c>
      <c r="F16" s="39" t="s">
        <v>14</v>
      </c>
      <c r="G16" s="22">
        <v>1</v>
      </c>
      <c r="H16" s="22">
        <v>0.5</v>
      </c>
      <c r="I16" s="22">
        <v>0</v>
      </c>
      <c r="J16" s="22">
        <v>0.9</v>
      </c>
      <c r="K16" s="22">
        <v>0.9</v>
      </c>
      <c r="L16" s="22">
        <v>1</v>
      </c>
      <c r="M16" s="22">
        <v>1</v>
      </c>
      <c r="N16" s="23">
        <v>0</v>
      </c>
      <c r="O16" s="22">
        <v>0.9</v>
      </c>
      <c r="P16" s="22">
        <v>0.4</v>
      </c>
      <c r="Q16" s="22">
        <v>0.6</v>
      </c>
      <c r="R16" s="23">
        <v>0.9</v>
      </c>
      <c r="S16" s="23">
        <v>0.9</v>
      </c>
      <c r="T16" s="23">
        <v>1</v>
      </c>
      <c r="U16" s="23">
        <v>1</v>
      </c>
      <c r="V16" s="20">
        <v>0.3</v>
      </c>
      <c r="W16" s="20">
        <v>0.6</v>
      </c>
      <c r="X16" s="20">
        <v>0.8</v>
      </c>
      <c r="Y16" s="20">
        <v>1</v>
      </c>
      <c r="Z16" s="20">
        <v>0.8</v>
      </c>
      <c r="AA16" s="20">
        <v>1</v>
      </c>
      <c r="AB16" s="20">
        <v>0.8</v>
      </c>
      <c r="AC16" s="20">
        <v>0.6</v>
      </c>
      <c r="AD16" s="20">
        <v>0</v>
      </c>
      <c r="AE16" s="20">
        <v>0.2</v>
      </c>
      <c r="AF16" s="20">
        <v>0.5</v>
      </c>
      <c r="AG16" s="20">
        <v>0.6</v>
      </c>
      <c r="AH16" s="20">
        <v>0.3</v>
      </c>
      <c r="AI16" s="20">
        <v>0.9</v>
      </c>
      <c r="AJ16" s="20">
        <v>0.6</v>
      </c>
      <c r="AK16" s="35">
        <v>0.4</v>
      </c>
    </row>
    <row r="17" spans="2:37" s="40" customFormat="1" ht="12.5" x14ac:dyDescent="0.25">
      <c r="B17" s="43" t="s">
        <v>2</v>
      </c>
      <c r="C17" s="39" t="s">
        <v>15</v>
      </c>
      <c r="D17" s="39" t="s">
        <v>12</v>
      </c>
      <c r="E17" s="39" t="s">
        <v>10</v>
      </c>
      <c r="F17" s="39" t="s">
        <v>14</v>
      </c>
      <c r="G17" s="22">
        <v>0.5</v>
      </c>
      <c r="H17" s="22">
        <v>1</v>
      </c>
      <c r="I17" s="22">
        <v>0.2</v>
      </c>
      <c r="J17" s="22">
        <v>0.6</v>
      </c>
      <c r="K17" s="22">
        <v>0.9</v>
      </c>
      <c r="L17" s="22">
        <v>0.4</v>
      </c>
      <c r="M17" s="22">
        <v>0.5</v>
      </c>
      <c r="N17" s="23">
        <v>0.2</v>
      </c>
      <c r="O17" s="22">
        <v>0.4</v>
      </c>
      <c r="P17" s="22">
        <v>0.5</v>
      </c>
      <c r="Q17" s="22">
        <v>0.8</v>
      </c>
      <c r="R17" s="23">
        <v>0.8</v>
      </c>
      <c r="S17" s="23">
        <v>1</v>
      </c>
      <c r="T17" s="23">
        <v>0.5</v>
      </c>
      <c r="U17" s="23">
        <v>0.3</v>
      </c>
      <c r="V17" s="20">
        <v>0.1</v>
      </c>
      <c r="W17" s="20">
        <v>0.4</v>
      </c>
      <c r="X17" s="20">
        <v>0.7</v>
      </c>
      <c r="Y17" s="20">
        <v>0.9</v>
      </c>
      <c r="Z17" s="20">
        <v>0.7</v>
      </c>
      <c r="AA17" s="20">
        <v>1</v>
      </c>
      <c r="AB17" s="20">
        <v>0.5</v>
      </c>
      <c r="AC17" s="20">
        <v>0.2</v>
      </c>
      <c r="AD17" s="20">
        <v>0.2</v>
      </c>
      <c r="AE17" s="20">
        <v>0.4</v>
      </c>
      <c r="AF17" s="20">
        <v>0.7</v>
      </c>
      <c r="AG17" s="20">
        <v>0.9</v>
      </c>
      <c r="AH17" s="20">
        <v>0.7</v>
      </c>
      <c r="AI17" s="20">
        <v>0.9</v>
      </c>
      <c r="AJ17" s="20">
        <v>0.4</v>
      </c>
      <c r="AK17" s="35">
        <v>0.2</v>
      </c>
    </row>
    <row r="18" spans="2:37" s="40" customFormat="1" ht="12.5" x14ac:dyDescent="0.25">
      <c r="B18" s="43" t="s">
        <v>2</v>
      </c>
      <c r="C18" s="39" t="s">
        <v>16</v>
      </c>
      <c r="D18" s="39" t="s">
        <v>12</v>
      </c>
      <c r="E18" s="39" t="s">
        <v>18</v>
      </c>
      <c r="F18" s="39" t="s">
        <v>19</v>
      </c>
      <c r="G18" s="22">
        <v>1</v>
      </c>
      <c r="H18" s="22">
        <v>0.8</v>
      </c>
      <c r="I18" s="22">
        <v>0.5</v>
      </c>
      <c r="J18" s="22">
        <v>1</v>
      </c>
      <c r="K18" s="22">
        <v>1</v>
      </c>
      <c r="L18" s="22">
        <v>1</v>
      </c>
      <c r="M18" s="22">
        <v>1</v>
      </c>
      <c r="N18" s="23">
        <v>1</v>
      </c>
      <c r="O18" s="22">
        <v>0.8</v>
      </c>
      <c r="P18" s="22">
        <v>0.5</v>
      </c>
      <c r="Q18" s="22">
        <v>0.7</v>
      </c>
      <c r="R18" s="23">
        <v>1</v>
      </c>
      <c r="S18" s="23">
        <v>1</v>
      </c>
      <c r="T18" s="23">
        <v>1</v>
      </c>
      <c r="U18" s="23">
        <v>1</v>
      </c>
      <c r="V18" s="20">
        <v>0.6</v>
      </c>
      <c r="W18" s="20">
        <v>0.7</v>
      </c>
      <c r="X18" s="20">
        <v>0.8</v>
      </c>
      <c r="Y18" s="20">
        <v>1</v>
      </c>
      <c r="Z18" s="20">
        <v>0.9</v>
      </c>
      <c r="AA18" s="20">
        <v>1</v>
      </c>
      <c r="AB18" s="20">
        <v>0.8</v>
      </c>
      <c r="AC18" s="20">
        <v>0.7</v>
      </c>
      <c r="AD18" s="20">
        <v>0.2</v>
      </c>
      <c r="AE18" s="20">
        <v>0.3</v>
      </c>
      <c r="AF18" s="20">
        <v>0.5</v>
      </c>
      <c r="AG18" s="20">
        <v>0.8</v>
      </c>
      <c r="AH18" s="20">
        <v>0.9</v>
      </c>
      <c r="AI18" s="20">
        <v>1</v>
      </c>
      <c r="AJ18" s="20">
        <v>0.8</v>
      </c>
      <c r="AK18" s="35">
        <v>0.7</v>
      </c>
    </row>
    <row r="19" spans="2:37" s="40" customFormat="1" ht="12.5" x14ac:dyDescent="0.25">
      <c r="B19" s="43" t="s">
        <v>7</v>
      </c>
      <c r="C19" s="39" t="s">
        <v>8</v>
      </c>
      <c r="D19" s="41" t="s">
        <v>4</v>
      </c>
      <c r="E19" s="39" t="s">
        <v>13</v>
      </c>
      <c r="F19" s="39" t="s">
        <v>11</v>
      </c>
      <c r="G19" s="22">
        <v>1</v>
      </c>
      <c r="H19" s="22">
        <v>0.9</v>
      </c>
      <c r="I19" s="22">
        <v>0.2</v>
      </c>
      <c r="J19" s="22">
        <v>0.9</v>
      </c>
      <c r="K19" s="22">
        <v>0.6</v>
      </c>
      <c r="L19" s="22">
        <v>0.7</v>
      </c>
      <c r="M19" s="22">
        <v>0.7</v>
      </c>
      <c r="N19" s="23">
        <v>0.1</v>
      </c>
      <c r="O19" s="22">
        <v>1</v>
      </c>
      <c r="P19" s="22">
        <v>0.2</v>
      </c>
      <c r="Q19" s="22">
        <v>0.5</v>
      </c>
      <c r="R19" s="23">
        <v>1</v>
      </c>
      <c r="S19" s="23">
        <v>0.9</v>
      </c>
      <c r="T19" s="23">
        <v>0.9</v>
      </c>
      <c r="U19" s="81"/>
      <c r="V19" s="20">
        <v>1</v>
      </c>
      <c r="W19" s="20">
        <v>0.9</v>
      </c>
      <c r="X19" s="20">
        <v>0.5</v>
      </c>
      <c r="Y19" s="20">
        <v>0.3</v>
      </c>
      <c r="Z19" s="20">
        <v>0.9</v>
      </c>
      <c r="AA19" s="20">
        <v>0.9</v>
      </c>
      <c r="AB19" s="20">
        <v>0.9</v>
      </c>
      <c r="AC19" s="20">
        <v>0.9</v>
      </c>
      <c r="AD19" s="20">
        <v>0</v>
      </c>
      <c r="AE19" s="20">
        <v>0.2</v>
      </c>
      <c r="AF19" s="20">
        <v>0.4</v>
      </c>
      <c r="AG19" s="20">
        <v>0.5</v>
      </c>
      <c r="AH19" s="20">
        <v>0.4</v>
      </c>
      <c r="AI19" s="20">
        <v>0.9</v>
      </c>
      <c r="AJ19" s="20">
        <v>0.4</v>
      </c>
      <c r="AK19" s="35">
        <v>0.3</v>
      </c>
    </row>
    <row r="20" spans="2:37" s="40" customFormat="1" ht="12.5" x14ac:dyDescent="0.25">
      <c r="B20" s="43" t="s">
        <v>2</v>
      </c>
      <c r="C20" s="39" t="s">
        <v>3</v>
      </c>
      <c r="D20" s="39" t="s">
        <v>12</v>
      </c>
      <c r="E20" s="39" t="s">
        <v>18</v>
      </c>
      <c r="F20" s="39" t="s">
        <v>19</v>
      </c>
      <c r="G20" s="22">
        <v>1</v>
      </c>
      <c r="H20" s="22">
        <v>1</v>
      </c>
      <c r="I20" s="22">
        <v>0.5</v>
      </c>
      <c r="J20" s="22">
        <v>1</v>
      </c>
      <c r="K20" s="22">
        <v>1</v>
      </c>
      <c r="L20" s="22">
        <v>0.7</v>
      </c>
      <c r="M20" s="22">
        <v>0.7</v>
      </c>
      <c r="N20" s="23">
        <v>0.3</v>
      </c>
      <c r="O20" s="22">
        <v>0.8</v>
      </c>
      <c r="P20" s="22">
        <v>0.4</v>
      </c>
      <c r="Q20" s="22">
        <v>0.6</v>
      </c>
      <c r="R20" s="23">
        <v>1</v>
      </c>
      <c r="S20" s="23">
        <v>1</v>
      </c>
      <c r="T20" s="23">
        <v>0.9</v>
      </c>
      <c r="U20" s="23">
        <v>1</v>
      </c>
      <c r="V20" s="20">
        <v>1</v>
      </c>
      <c r="W20" s="20">
        <v>0.7</v>
      </c>
      <c r="X20" s="20">
        <v>0.5</v>
      </c>
      <c r="Y20" s="20">
        <v>0.5</v>
      </c>
      <c r="Z20" s="20">
        <v>1</v>
      </c>
      <c r="AA20" s="20">
        <v>0.6</v>
      </c>
      <c r="AB20" s="20">
        <v>0.6</v>
      </c>
      <c r="AC20" s="20">
        <v>0.6</v>
      </c>
      <c r="AD20" s="20">
        <v>0.1</v>
      </c>
      <c r="AE20" s="20">
        <v>0.5</v>
      </c>
      <c r="AF20" s="20">
        <v>0.7</v>
      </c>
      <c r="AG20" s="20">
        <v>0.8</v>
      </c>
      <c r="AH20" s="20">
        <v>0.1</v>
      </c>
      <c r="AI20" s="20">
        <v>0.4</v>
      </c>
      <c r="AJ20" s="20">
        <v>0.2</v>
      </c>
      <c r="AK20" s="35">
        <v>0.2</v>
      </c>
    </row>
    <row r="21" spans="2:37" s="40" customFormat="1" ht="12.5" x14ac:dyDescent="0.25">
      <c r="B21" s="43" t="s">
        <v>7</v>
      </c>
      <c r="C21" s="39" t="s">
        <v>20</v>
      </c>
      <c r="D21" s="41" t="s">
        <v>9</v>
      </c>
      <c r="E21" s="39" t="s">
        <v>10</v>
      </c>
      <c r="F21" s="39" t="s">
        <v>14</v>
      </c>
      <c r="G21" s="22">
        <v>0.1</v>
      </c>
      <c r="H21" s="22">
        <v>0.2</v>
      </c>
      <c r="I21" s="22">
        <v>0.2</v>
      </c>
      <c r="J21" s="22">
        <v>0.8</v>
      </c>
      <c r="K21" s="22">
        <v>0.7</v>
      </c>
      <c r="L21" s="22">
        <v>0.8</v>
      </c>
      <c r="M21" s="22">
        <v>0.8</v>
      </c>
      <c r="N21" s="23">
        <v>0.9</v>
      </c>
      <c r="O21" s="22">
        <v>0.8</v>
      </c>
      <c r="P21" s="22">
        <v>0.7</v>
      </c>
      <c r="Q21" s="22">
        <v>0.7</v>
      </c>
      <c r="R21" s="23">
        <v>0.9</v>
      </c>
      <c r="S21" s="23">
        <v>0.9</v>
      </c>
      <c r="T21" s="23">
        <v>0.8</v>
      </c>
      <c r="U21" s="23">
        <v>0.8</v>
      </c>
      <c r="V21" s="20">
        <v>0.8</v>
      </c>
      <c r="W21" s="20">
        <v>0.8</v>
      </c>
      <c r="X21" s="20">
        <v>0.9</v>
      </c>
      <c r="Y21" s="20">
        <v>0.9</v>
      </c>
      <c r="Z21" s="20">
        <v>0.8</v>
      </c>
      <c r="AA21" s="20">
        <v>0.8</v>
      </c>
      <c r="AB21" s="20">
        <v>0.9</v>
      </c>
      <c r="AC21" s="20">
        <v>0.9</v>
      </c>
      <c r="AD21" s="20">
        <v>0.9</v>
      </c>
      <c r="AE21" s="20">
        <v>0.9</v>
      </c>
      <c r="AF21" s="20">
        <v>0.8</v>
      </c>
      <c r="AG21" s="20">
        <v>0.8</v>
      </c>
      <c r="AH21" s="20">
        <v>0.9</v>
      </c>
      <c r="AI21" s="20">
        <v>0.8</v>
      </c>
      <c r="AJ21" s="20">
        <v>0.7</v>
      </c>
      <c r="AK21" s="35">
        <v>0.8</v>
      </c>
    </row>
    <row r="22" spans="2:37" s="40" customFormat="1" ht="12.5" x14ac:dyDescent="0.25">
      <c r="B22" s="43" t="s">
        <v>2</v>
      </c>
      <c r="C22" s="39" t="s">
        <v>8</v>
      </c>
      <c r="D22" s="39" t="s">
        <v>12</v>
      </c>
      <c r="E22" s="39" t="s">
        <v>18</v>
      </c>
      <c r="F22" s="39" t="s">
        <v>19</v>
      </c>
      <c r="G22" s="22">
        <v>0.3</v>
      </c>
      <c r="H22" s="22">
        <v>0.3</v>
      </c>
      <c r="I22" s="22">
        <v>0.6</v>
      </c>
      <c r="J22" s="22">
        <v>0.5</v>
      </c>
      <c r="K22" s="22">
        <v>0.9</v>
      </c>
      <c r="L22" s="22">
        <v>0.5</v>
      </c>
      <c r="M22" s="22">
        <v>0.3</v>
      </c>
      <c r="N22" s="23">
        <v>0.2</v>
      </c>
      <c r="O22" s="22">
        <v>0.6</v>
      </c>
      <c r="P22" s="22">
        <v>0.2</v>
      </c>
      <c r="Q22" s="22">
        <v>0.3</v>
      </c>
      <c r="R22" s="23">
        <v>0.2</v>
      </c>
      <c r="S22" s="23">
        <v>0.9</v>
      </c>
      <c r="T22" s="23">
        <v>0.6</v>
      </c>
      <c r="U22" s="23">
        <v>0.6</v>
      </c>
      <c r="V22" s="20">
        <v>0.1</v>
      </c>
      <c r="W22" s="20">
        <v>0.1</v>
      </c>
      <c r="X22" s="20">
        <v>0.1</v>
      </c>
      <c r="Y22" s="20">
        <v>0.4</v>
      </c>
      <c r="Z22" s="20">
        <v>0.3</v>
      </c>
      <c r="AA22" s="20">
        <v>0.9</v>
      </c>
      <c r="AB22" s="20">
        <v>0.3</v>
      </c>
      <c r="AC22" s="20">
        <v>0.3</v>
      </c>
      <c r="AD22" s="20">
        <v>0.1</v>
      </c>
      <c r="AE22" s="20">
        <v>0.1</v>
      </c>
      <c r="AF22" s="20">
        <v>0.1</v>
      </c>
      <c r="AG22" s="20">
        <v>0.1</v>
      </c>
      <c r="AH22" s="20">
        <v>0.3</v>
      </c>
      <c r="AI22" s="20">
        <v>0.9</v>
      </c>
      <c r="AJ22" s="20">
        <v>0.3</v>
      </c>
      <c r="AK22" s="35">
        <v>0.3</v>
      </c>
    </row>
    <row r="23" spans="2:37" s="40" customFormat="1" ht="12.5" x14ac:dyDescent="0.25">
      <c r="B23" s="43" t="s">
        <v>7</v>
      </c>
      <c r="C23" s="39" t="s">
        <v>3</v>
      </c>
      <c r="D23" s="39" t="s">
        <v>12</v>
      </c>
      <c r="E23" s="39" t="s">
        <v>13</v>
      </c>
      <c r="F23" s="39" t="s">
        <v>11</v>
      </c>
      <c r="G23" s="22">
        <v>1</v>
      </c>
      <c r="H23" s="22">
        <v>0.6</v>
      </c>
      <c r="I23" s="22">
        <v>0.4</v>
      </c>
      <c r="J23" s="22">
        <v>0.8</v>
      </c>
      <c r="K23" s="22">
        <v>1</v>
      </c>
      <c r="L23" s="22">
        <v>0.8</v>
      </c>
      <c r="M23" s="22">
        <v>1</v>
      </c>
      <c r="N23" s="23">
        <v>0</v>
      </c>
      <c r="O23" s="22">
        <v>1</v>
      </c>
      <c r="P23" s="22">
        <v>0.4</v>
      </c>
      <c r="Q23" s="22">
        <v>0.7</v>
      </c>
      <c r="R23" s="23">
        <v>1</v>
      </c>
      <c r="S23" s="23">
        <v>1</v>
      </c>
      <c r="T23" s="23">
        <v>1</v>
      </c>
      <c r="U23" s="23">
        <v>1</v>
      </c>
      <c r="V23" s="20">
        <v>0</v>
      </c>
      <c r="W23" s="20">
        <v>0.2</v>
      </c>
      <c r="X23" s="20">
        <v>0.5</v>
      </c>
      <c r="Y23" s="20">
        <v>1</v>
      </c>
      <c r="Z23" s="20">
        <v>0.4</v>
      </c>
      <c r="AA23" s="20">
        <v>1</v>
      </c>
      <c r="AB23" s="20">
        <v>0.4</v>
      </c>
      <c r="AC23" s="20">
        <v>0.6</v>
      </c>
      <c r="AD23" s="20">
        <v>0</v>
      </c>
      <c r="AE23" s="20">
        <v>0.3</v>
      </c>
      <c r="AF23" s="20">
        <v>0.6</v>
      </c>
      <c r="AG23" s="20">
        <v>0.9</v>
      </c>
      <c r="AH23" s="20">
        <v>0.5</v>
      </c>
      <c r="AI23" s="20">
        <v>1</v>
      </c>
      <c r="AJ23" s="20">
        <v>0.3</v>
      </c>
      <c r="AK23" s="35">
        <v>0.8</v>
      </c>
    </row>
    <row r="24" spans="2:37" s="40" customFormat="1" ht="12.5" x14ac:dyDescent="0.25">
      <c r="B24" s="43" t="s">
        <v>2</v>
      </c>
      <c r="C24" s="39" t="s">
        <v>8</v>
      </c>
      <c r="D24" s="39" t="s">
        <v>12</v>
      </c>
      <c r="E24" s="39" t="s">
        <v>10</v>
      </c>
      <c r="F24" s="39" t="s">
        <v>6</v>
      </c>
      <c r="G24" s="22">
        <v>1</v>
      </c>
      <c r="H24" s="22">
        <v>0.8</v>
      </c>
      <c r="I24" s="22">
        <v>0.3</v>
      </c>
      <c r="J24" s="22">
        <v>0.9</v>
      </c>
      <c r="K24" s="22">
        <v>0.5</v>
      </c>
      <c r="L24" s="22">
        <v>0.8</v>
      </c>
      <c r="M24" s="22">
        <v>0.8</v>
      </c>
      <c r="N24" s="23">
        <v>0.3</v>
      </c>
      <c r="O24" s="22">
        <v>1</v>
      </c>
      <c r="P24" s="22">
        <v>0.5</v>
      </c>
      <c r="Q24" s="22">
        <v>0.6</v>
      </c>
      <c r="R24" s="23">
        <v>1</v>
      </c>
      <c r="S24" s="23">
        <v>0.8</v>
      </c>
      <c r="T24" s="23">
        <v>1</v>
      </c>
      <c r="U24" s="23">
        <v>1</v>
      </c>
      <c r="V24" s="20">
        <v>0.1</v>
      </c>
      <c r="W24" s="20">
        <v>0.2</v>
      </c>
      <c r="X24" s="20">
        <v>0.4</v>
      </c>
      <c r="Y24" s="20">
        <v>1</v>
      </c>
      <c r="Z24" s="20">
        <v>0.2</v>
      </c>
      <c r="AA24" s="20">
        <v>0.7</v>
      </c>
      <c r="AB24" s="20">
        <v>0.5</v>
      </c>
      <c r="AC24" s="20">
        <v>0.5</v>
      </c>
      <c r="AD24" s="20">
        <v>0</v>
      </c>
      <c r="AE24" s="20">
        <v>0.2</v>
      </c>
      <c r="AF24" s="20">
        <v>0.4</v>
      </c>
      <c r="AG24" s="20">
        <v>0.6</v>
      </c>
      <c r="AH24" s="20">
        <v>0.4</v>
      </c>
      <c r="AI24" s="20">
        <v>0.6</v>
      </c>
      <c r="AJ24" s="20">
        <v>0.4</v>
      </c>
      <c r="AK24" s="35">
        <v>0.5</v>
      </c>
    </row>
    <row r="25" spans="2:37" s="40" customFormat="1" ht="12.5" x14ac:dyDescent="0.25">
      <c r="B25" s="43" t="s">
        <v>2</v>
      </c>
      <c r="C25" s="39" t="s">
        <v>8</v>
      </c>
      <c r="D25" s="39" t="s">
        <v>12</v>
      </c>
      <c r="E25" s="39" t="s">
        <v>13</v>
      </c>
      <c r="F25" s="39" t="s">
        <v>11</v>
      </c>
      <c r="G25" s="22">
        <v>0.2</v>
      </c>
      <c r="H25" s="22">
        <v>0.8</v>
      </c>
      <c r="I25" s="22">
        <v>0.7</v>
      </c>
      <c r="J25" s="22">
        <v>0.4</v>
      </c>
      <c r="K25" s="22">
        <v>0.6</v>
      </c>
      <c r="L25" s="22">
        <v>0.3</v>
      </c>
      <c r="M25" s="22">
        <v>0.8</v>
      </c>
      <c r="N25" s="23">
        <v>0.7</v>
      </c>
      <c r="O25" s="22">
        <v>0.8</v>
      </c>
      <c r="P25" s="22">
        <v>0.3</v>
      </c>
      <c r="Q25" s="22">
        <v>0.4</v>
      </c>
      <c r="R25" s="23">
        <v>0.7</v>
      </c>
      <c r="S25" s="23">
        <v>0.8</v>
      </c>
      <c r="T25" s="23">
        <v>0.5</v>
      </c>
      <c r="U25" s="23">
        <v>0.9</v>
      </c>
      <c r="V25" s="20">
        <v>0.9</v>
      </c>
      <c r="W25" s="20">
        <v>0.7</v>
      </c>
      <c r="X25" s="20">
        <v>0.4</v>
      </c>
      <c r="Y25" s="20">
        <v>0.4</v>
      </c>
      <c r="Z25" s="20">
        <v>0.5</v>
      </c>
      <c r="AA25" s="20">
        <v>0.7</v>
      </c>
      <c r="AB25" s="20">
        <v>0.3</v>
      </c>
      <c r="AC25" s="20">
        <v>0.7</v>
      </c>
      <c r="AD25" s="20">
        <v>0.5</v>
      </c>
      <c r="AE25" s="20">
        <v>0.6</v>
      </c>
      <c r="AF25" s="20">
        <v>0.7</v>
      </c>
      <c r="AG25" s="20">
        <v>0.8</v>
      </c>
      <c r="AH25" s="20">
        <v>0.5</v>
      </c>
      <c r="AI25" s="20">
        <v>0.6</v>
      </c>
      <c r="AJ25" s="20">
        <v>0.4</v>
      </c>
      <c r="AK25" s="35">
        <v>0.7</v>
      </c>
    </row>
    <row r="26" spans="2:37" s="40" customFormat="1" ht="12.5" x14ac:dyDescent="0.25">
      <c r="B26" s="43" t="s">
        <v>7</v>
      </c>
      <c r="C26" s="39" t="s">
        <v>8</v>
      </c>
      <c r="D26" s="41" t="s">
        <v>9</v>
      </c>
      <c r="E26" s="39" t="s">
        <v>13</v>
      </c>
      <c r="F26" s="39" t="s">
        <v>11</v>
      </c>
      <c r="G26" s="22">
        <v>1</v>
      </c>
      <c r="H26" s="22">
        <v>0.8</v>
      </c>
      <c r="I26" s="22">
        <v>0.2</v>
      </c>
      <c r="J26" s="22">
        <v>0.9</v>
      </c>
      <c r="K26" s="22">
        <v>0.5</v>
      </c>
      <c r="L26" s="22">
        <v>0.7</v>
      </c>
      <c r="M26" s="22">
        <v>0.9</v>
      </c>
      <c r="N26" s="23">
        <v>0.5</v>
      </c>
      <c r="O26" s="22">
        <v>1</v>
      </c>
      <c r="P26" s="22">
        <v>0.2</v>
      </c>
      <c r="Q26" s="22">
        <v>0.7</v>
      </c>
      <c r="R26" s="23">
        <v>0.8</v>
      </c>
      <c r="S26" s="23">
        <v>0.9</v>
      </c>
      <c r="T26" s="23">
        <v>0.7</v>
      </c>
      <c r="U26" s="23">
        <v>1</v>
      </c>
      <c r="V26" s="20">
        <v>0</v>
      </c>
      <c r="W26" s="20">
        <v>0.1</v>
      </c>
      <c r="X26" s="20">
        <v>0.7</v>
      </c>
      <c r="Y26" s="20">
        <v>1</v>
      </c>
      <c r="Z26" s="20">
        <v>0.6</v>
      </c>
      <c r="AA26" s="20">
        <v>0.9</v>
      </c>
      <c r="AB26" s="20">
        <v>0.6</v>
      </c>
      <c r="AC26" s="20">
        <v>0.6</v>
      </c>
      <c r="AD26" s="20">
        <v>0</v>
      </c>
      <c r="AE26" s="20">
        <v>0.2</v>
      </c>
      <c r="AF26" s="20">
        <v>0.5</v>
      </c>
      <c r="AG26" s="20">
        <v>0.7</v>
      </c>
      <c r="AH26" s="20">
        <v>0.4</v>
      </c>
      <c r="AI26" s="20">
        <v>0.8</v>
      </c>
      <c r="AJ26" s="20">
        <v>0.4</v>
      </c>
      <c r="AK26" s="35">
        <v>0.3</v>
      </c>
    </row>
    <row r="27" spans="2:37" s="40" customFormat="1" ht="12.5" x14ac:dyDescent="0.25">
      <c r="B27" s="43" t="s">
        <v>2</v>
      </c>
      <c r="C27" s="39" t="s">
        <v>3</v>
      </c>
      <c r="D27" s="39" t="s">
        <v>12</v>
      </c>
      <c r="E27" s="39" t="s">
        <v>13</v>
      </c>
      <c r="F27" s="39" t="s">
        <v>19</v>
      </c>
      <c r="G27" s="22">
        <v>1</v>
      </c>
      <c r="H27" s="22">
        <v>0.9</v>
      </c>
      <c r="I27" s="22">
        <v>0.3</v>
      </c>
      <c r="J27" s="22">
        <v>1</v>
      </c>
      <c r="K27" s="22">
        <v>0.9</v>
      </c>
      <c r="L27" s="22">
        <v>1</v>
      </c>
      <c r="M27" s="22">
        <v>1</v>
      </c>
      <c r="N27" s="23">
        <v>0.7</v>
      </c>
      <c r="O27" s="22">
        <v>0.9</v>
      </c>
      <c r="P27" s="22">
        <v>0.4</v>
      </c>
      <c r="Q27" s="22">
        <v>0.8</v>
      </c>
      <c r="R27" s="23">
        <v>1</v>
      </c>
      <c r="S27" s="23">
        <v>1</v>
      </c>
      <c r="T27" s="23">
        <v>1</v>
      </c>
      <c r="U27" s="23">
        <v>1</v>
      </c>
      <c r="V27" s="20">
        <v>0</v>
      </c>
      <c r="W27" s="20">
        <v>0.2</v>
      </c>
      <c r="X27" s="20">
        <v>0.4</v>
      </c>
      <c r="Y27" s="20">
        <v>0.7</v>
      </c>
      <c r="Z27" s="20">
        <v>0.2</v>
      </c>
      <c r="AA27" s="20">
        <v>0.4</v>
      </c>
      <c r="AB27" s="20">
        <v>0.2</v>
      </c>
      <c r="AC27" s="20">
        <v>0.2</v>
      </c>
      <c r="AD27" s="20">
        <v>0</v>
      </c>
      <c r="AE27" s="20">
        <v>0.1</v>
      </c>
      <c r="AF27" s="20">
        <v>0.2</v>
      </c>
      <c r="AG27" s="20">
        <v>0.3</v>
      </c>
      <c r="AH27" s="20">
        <v>0.2</v>
      </c>
      <c r="AI27" s="20">
        <v>0.6</v>
      </c>
      <c r="AJ27" s="20">
        <v>0.4</v>
      </c>
      <c r="AK27" s="35">
        <v>0.3</v>
      </c>
    </row>
    <row r="28" spans="2:37" s="40" customFormat="1" ht="12.5" x14ac:dyDescent="0.25">
      <c r="B28" s="43" t="s">
        <v>2</v>
      </c>
      <c r="C28" s="39" t="s">
        <v>16</v>
      </c>
      <c r="D28" s="39" t="s">
        <v>12</v>
      </c>
      <c r="E28" s="39" t="s">
        <v>10</v>
      </c>
      <c r="F28" s="39" t="s">
        <v>14</v>
      </c>
      <c r="G28" s="22">
        <v>1</v>
      </c>
      <c r="H28" s="22">
        <v>0.9</v>
      </c>
      <c r="I28" s="22">
        <v>0.4</v>
      </c>
      <c r="J28" s="22">
        <v>0.9</v>
      </c>
      <c r="K28" s="22">
        <v>0.7</v>
      </c>
      <c r="L28" s="22">
        <v>0.8</v>
      </c>
      <c r="M28" s="22">
        <v>0.9</v>
      </c>
      <c r="N28" s="23">
        <v>0.8</v>
      </c>
      <c r="O28" s="22">
        <v>0.9</v>
      </c>
      <c r="P28" s="22">
        <v>0.3</v>
      </c>
      <c r="Q28" s="22">
        <v>0.6</v>
      </c>
      <c r="R28" s="23">
        <v>1</v>
      </c>
      <c r="S28" s="23">
        <v>0.8</v>
      </c>
      <c r="T28" s="23">
        <v>0.9</v>
      </c>
      <c r="U28" s="23">
        <v>0.9</v>
      </c>
      <c r="V28" s="20">
        <v>0.3</v>
      </c>
      <c r="W28" s="20">
        <v>0.4</v>
      </c>
      <c r="X28" s="20">
        <v>0.7</v>
      </c>
      <c r="Y28" s="20">
        <v>0.8</v>
      </c>
      <c r="Z28" s="20">
        <v>0.6</v>
      </c>
      <c r="AA28" s="20">
        <v>0.9</v>
      </c>
      <c r="AB28" s="20">
        <v>0.5</v>
      </c>
      <c r="AC28" s="20">
        <v>0.4</v>
      </c>
      <c r="AD28" s="20">
        <v>0.2</v>
      </c>
      <c r="AE28" s="20">
        <v>0.4</v>
      </c>
      <c r="AF28" s="20">
        <v>0.4</v>
      </c>
      <c r="AG28" s="20">
        <v>0.6</v>
      </c>
      <c r="AH28" s="20">
        <v>0.5</v>
      </c>
      <c r="AI28" s="20">
        <v>0.9</v>
      </c>
      <c r="AJ28" s="20">
        <v>0.5</v>
      </c>
      <c r="AK28" s="35">
        <v>0.3</v>
      </c>
    </row>
    <row r="29" spans="2:37" s="40" customFormat="1" ht="12.5" x14ac:dyDescent="0.25">
      <c r="B29" s="43" t="s">
        <v>7</v>
      </c>
      <c r="C29" s="39" t="s">
        <v>3</v>
      </c>
      <c r="D29" s="41" t="s">
        <v>9</v>
      </c>
      <c r="E29" s="39" t="s">
        <v>13</v>
      </c>
      <c r="F29" s="39" t="s">
        <v>11</v>
      </c>
      <c r="G29" s="22">
        <v>1</v>
      </c>
      <c r="H29" s="22">
        <v>0.8</v>
      </c>
      <c r="I29" s="22">
        <v>0.2</v>
      </c>
      <c r="J29" s="22">
        <v>1</v>
      </c>
      <c r="K29" s="22">
        <v>0.8</v>
      </c>
      <c r="L29" s="22">
        <v>0.9</v>
      </c>
      <c r="M29" s="22">
        <v>0.9</v>
      </c>
      <c r="N29" s="23">
        <v>0.1</v>
      </c>
      <c r="O29" s="22">
        <v>0.9</v>
      </c>
      <c r="P29" s="22">
        <v>0</v>
      </c>
      <c r="Q29" s="22">
        <v>0.6</v>
      </c>
      <c r="R29" s="23">
        <v>0.7</v>
      </c>
      <c r="S29" s="23">
        <v>0.4</v>
      </c>
      <c r="T29" s="23">
        <v>0.8</v>
      </c>
      <c r="U29" s="23">
        <v>0.8</v>
      </c>
      <c r="V29" s="20">
        <v>0</v>
      </c>
      <c r="W29" s="20">
        <v>0.1</v>
      </c>
      <c r="X29" s="20">
        <v>0.4</v>
      </c>
      <c r="Y29" s="20">
        <v>0.6</v>
      </c>
      <c r="Z29" s="20">
        <v>0.4</v>
      </c>
      <c r="AA29" s="20">
        <v>0.8</v>
      </c>
      <c r="AB29" s="20">
        <v>0.3</v>
      </c>
      <c r="AC29" s="20">
        <v>0.4</v>
      </c>
      <c r="AD29" s="20">
        <v>0</v>
      </c>
      <c r="AE29" s="20">
        <v>0.2</v>
      </c>
      <c r="AF29" s="20">
        <v>0.3</v>
      </c>
      <c r="AG29" s="20">
        <v>0.7</v>
      </c>
      <c r="AH29" s="20">
        <v>0.3</v>
      </c>
      <c r="AI29" s="20">
        <v>0.7</v>
      </c>
      <c r="AJ29" s="20">
        <v>0.3</v>
      </c>
      <c r="AK29" s="35">
        <v>0.2</v>
      </c>
    </row>
    <row r="30" spans="2:37" s="40" customFormat="1" ht="12.5" x14ac:dyDescent="0.25">
      <c r="B30" s="43" t="s">
        <v>2</v>
      </c>
      <c r="C30" s="39" t="s">
        <v>8</v>
      </c>
      <c r="D30" s="39" t="s">
        <v>12</v>
      </c>
      <c r="E30" s="39" t="s">
        <v>18</v>
      </c>
      <c r="F30" s="39" t="s">
        <v>19</v>
      </c>
      <c r="G30" s="22">
        <v>0.9</v>
      </c>
      <c r="H30" s="22">
        <v>0.7</v>
      </c>
      <c r="I30" s="22">
        <v>0.3</v>
      </c>
      <c r="J30" s="22">
        <v>0.8</v>
      </c>
      <c r="K30" s="22">
        <v>0.2</v>
      </c>
      <c r="L30" s="22">
        <v>0.8</v>
      </c>
      <c r="M30" s="22">
        <v>0.8</v>
      </c>
      <c r="N30" s="23">
        <v>0.2</v>
      </c>
      <c r="O30" s="22">
        <v>0.9</v>
      </c>
      <c r="P30" s="22">
        <v>0.5</v>
      </c>
      <c r="Q30" s="22">
        <v>0.7</v>
      </c>
      <c r="R30" s="23">
        <v>0.8</v>
      </c>
      <c r="S30" s="23">
        <v>0.2</v>
      </c>
      <c r="T30" s="23">
        <v>0.8</v>
      </c>
      <c r="U30" s="23">
        <v>0.8</v>
      </c>
      <c r="V30" s="20">
        <v>0.1</v>
      </c>
      <c r="W30" s="20">
        <v>0.3</v>
      </c>
      <c r="X30" s="20">
        <v>0.6</v>
      </c>
      <c r="Y30" s="20">
        <v>0.9</v>
      </c>
      <c r="Z30" s="20">
        <v>0.6</v>
      </c>
      <c r="AA30" s="20">
        <v>0.9</v>
      </c>
      <c r="AB30" s="20">
        <v>0.7</v>
      </c>
      <c r="AC30" s="20">
        <v>0.4</v>
      </c>
      <c r="AD30" s="20">
        <v>0.2</v>
      </c>
      <c r="AE30" s="20">
        <v>0.4</v>
      </c>
      <c r="AF30" s="20">
        <v>0.6</v>
      </c>
      <c r="AG30" s="20">
        <v>0.8</v>
      </c>
      <c r="AH30" s="20">
        <v>0.7</v>
      </c>
      <c r="AI30" s="20">
        <v>0.9</v>
      </c>
      <c r="AJ30" s="20">
        <v>0.4</v>
      </c>
      <c r="AK30" s="35">
        <v>0.1</v>
      </c>
    </row>
    <row r="31" spans="2:37" s="40" customFormat="1" ht="12.5" x14ac:dyDescent="0.25">
      <c r="B31" s="43" t="s">
        <v>7</v>
      </c>
      <c r="C31" s="39" t="s">
        <v>8</v>
      </c>
      <c r="D31" s="41" t="s">
        <v>9</v>
      </c>
      <c r="E31" s="39" t="s">
        <v>10</v>
      </c>
      <c r="F31" s="39" t="s">
        <v>11</v>
      </c>
      <c r="G31" s="22">
        <v>1</v>
      </c>
      <c r="H31" s="22">
        <v>0.9</v>
      </c>
      <c r="I31" s="22">
        <v>0</v>
      </c>
      <c r="J31" s="22">
        <v>1</v>
      </c>
      <c r="K31" s="22">
        <v>0.8</v>
      </c>
      <c r="L31" s="22">
        <v>1</v>
      </c>
      <c r="M31" s="22">
        <v>0.9</v>
      </c>
      <c r="N31" s="23">
        <v>0.5</v>
      </c>
      <c r="O31" s="22">
        <v>1</v>
      </c>
      <c r="P31" s="22">
        <v>0</v>
      </c>
      <c r="Q31" s="22">
        <v>0.1</v>
      </c>
      <c r="R31" s="23">
        <v>0.4</v>
      </c>
      <c r="S31" s="23">
        <v>0.6</v>
      </c>
      <c r="T31" s="23">
        <v>1</v>
      </c>
      <c r="U31" s="23">
        <v>1</v>
      </c>
      <c r="V31" s="20">
        <v>0</v>
      </c>
      <c r="W31" s="20">
        <v>0.4</v>
      </c>
      <c r="X31" s="20">
        <v>0.7</v>
      </c>
      <c r="Y31" s="20">
        <v>1</v>
      </c>
      <c r="Z31" s="20">
        <v>0.6</v>
      </c>
      <c r="AA31" s="20">
        <v>1</v>
      </c>
      <c r="AB31" s="20">
        <v>0.5</v>
      </c>
      <c r="AC31" s="20">
        <v>0.8</v>
      </c>
      <c r="AD31" s="20">
        <v>0</v>
      </c>
      <c r="AE31" s="20">
        <v>0.4</v>
      </c>
      <c r="AF31" s="20">
        <v>0.7</v>
      </c>
      <c r="AG31" s="20">
        <v>0.9</v>
      </c>
      <c r="AH31" s="20">
        <v>0.6</v>
      </c>
      <c r="AI31" s="20">
        <v>0.9</v>
      </c>
      <c r="AJ31" s="20">
        <v>0.4</v>
      </c>
      <c r="AK31" s="35">
        <v>0.7</v>
      </c>
    </row>
    <row r="32" spans="2:37" s="40" customFormat="1" ht="12.5" x14ac:dyDescent="0.25">
      <c r="B32" s="43" t="s">
        <v>2</v>
      </c>
      <c r="C32" s="39" t="s">
        <v>3</v>
      </c>
      <c r="D32" s="41" t="s">
        <v>9</v>
      </c>
      <c r="E32" s="39" t="s">
        <v>13</v>
      </c>
      <c r="F32" s="39" t="s">
        <v>14</v>
      </c>
      <c r="G32" s="22">
        <v>1</v>
      </c>
      <c r="H32" s="22">
        <v>0.6</v>
      </c>
      <c r="I32" s="22">
        <v>0.4</v>
      </c>
      <c r="J32" s="22">
        <v>1</v>
      </c>
      <c r="K32" s="22">
        <v>0.7</v>
      </c>
      <c r="L32" s="22">
        <v>0.9</v>
      </c>
      <c r="M32" s="22">
        <v>0.9</v>
      </c>
      <c r="N32" s="23">
        <v>0.2</v>
      </c>
      <c r="O32" s="22">
        <v>1</v>
      </c>
      <c r="P32" s="22">
        <v>0.7</v>
      </c>
      <c r="Q32" s="22">
        <v>0.8</v>
      </c>
      <c r="R32" s="23">
        <v>0.8</v>
      </c>
      <c r="S32" s="23">
        <v>0.9</v>
      </c>
      <c r="T32" s="23">
        <v>1</v>
      </c>
      <c r="U32" s="23">
        <v>1</v>
      </c>
      <c r="V32" s="20">
        <v>0</v>
      </c>
      <c r="W32" s="20">
        <v>0.3</v>
      </c>
      <c r="X32" s="20">
        <v>0.7</v>
      </c>
      <c r="Y32" s="20">
        <v>1</v>
      </c>
      <c r="Z32" s="20">
        <v>0.4</v>
      </c>
      <c r="AA32" s="20">
        <v>0.9</v>
      </c>
      <c r="AB32" s="20">
        <v>0.4</v>
      </c>
      <c r="AC32" s="20">
        <v>0.5</v>
      </c>
      <c r="AD32" s="20">
        <v>0</v>
      </c>
      <c r="AE32" s="20">
        <v>0.2</v>
      </c>
      <c r="AF32" s="20">
        <v>0.3</v>
      </c>
      <c r="AG32" s="20">
        <v>0.5</v>
      </c>
      <c r="AH32" s="20">
        <v>0.6</v>
      </c>
      <c r="AI32" s="20">
        <v>0.6</v>
      </c>
      <c r="AJ32" s="20">
        <v>0.4</v>
      </c>
      <c r="AK32" s="35">
        <v>0.3</v>
      </c>
    </row>
    <row r="33" spans="1:39" s="40" customFormat="1" ht="12.5" x14ac:dyDescent="0.25">
      <c r="B33" s="43" t="s">
        <v>2</v>
      </c>
      <c r="C33" s="39" t="s">
        <v>8</v>
      </c>
      <c r="D33" s="41" t="s">
        <v>9</v>
      </c>
      <c r="E33" s="39" t="s">
        <v>10</v>
      </c>
      <c r="F33" s="39" t="s">
        <v>11</v>
      </c>
      <c r="G33" s="22">
        <v>1</v>
      </c>
      <c r="H33" s="22">
        <v>0.9</v>
      </c>
      <c r="I33" s="22">
        <v>0.3</v>
      </c>
      <c r="J33" s="22">
        <v>0.9</v>
      </c>
      <c r="K33" s="22">
        <v>0.7</v>
      </c>
      <c r="L33" s="22">
        <v>1</v>
      </c>
      <c r="M33" s="22">
        <v>1</v>
      </c>
      <c r="N33" s="23">
        <v>0.3</v>
      </c>
      <c r="O33" s="22">
        <v>1</v>
      </c>
      <c r="P33" s="22">
        <v>0.4</v>
      </c>
      <c r="Q33" s="22">
        <v>0.8</v>
      </c>
      <c r="R33" s="23">
        <v>0.9</v>
      </c>
      <c r="S33" s="23">
        <v>0.9</v>
      </c>
      <c r="T33" s="23">
        <v>1</v>
      </c>
      <c r="U33" s="23">
        <v>1</v>
      </c>
      <c r="V33" s="20">
        <v>0</v>
      </c>
      <c r="W33" s="20">
        <v>0.3</v>
      </c>
      <c r="X33" s="20">
        <v>0.5</v>
      </c>
      <c r="Y33" s="20">
        <v>0.7</v>
      </c>
      <c r="Z33" s="20">
        <v>0.4</v>
      </c>
      <c r="AA33" s="20">
        <v>0.8</v>
      </c>
      <c r="AB33" s="20">
        <v>0.5</v>
      </c>
      <c r="AC33" s="20">
        <v>0.6</v>
      </c>
      <c r="AD33" s="20">
        <v>0.2</v>
      </c>
      <c r="AE33" s="20">
        <v>0.4</v>
      </c>
      <c r="AF33" s="20">
        <v>0.6</v>
      </c>
      <c r="AG33" s="20">
        <v>0.8</v>
      </c>
      <c r="AH33" s="20">
        <v>0.7</v>
      </c>
      <c r="AI33" s="20">
        <v>0.8</v>
      </c>
      <c r="AJ33" s="20">
        <v>0.6</v>
      </c>
      <c r="AK33" s="35">
        <v>0.7</v>
      </c>
    </row>
    <row r="34" spans="1:39" s="40" customFormat="1" ht="12.5" x14ac:dyDescent="0.25">
      <c r="B34" s="43" t="s">
        <v>2</v>
      </c>
      <c r="C34" s="39" t="s">
        <v>16</v>
      </c>
      <c r="D34" s="41" t="s">
        <v>9</v>
      </c>
      <c r="E34" s="39" t="s">
        <v>13</v>
      </c>
      <c r="F34" s="39" t="s">
        <v>6</v>
      </c>
      <c r="G34" s="22">
        <v>1</v>
      </c>
      <c r="H34" s="22">
        <v>0.8</v>
      </c>
      <c r="I34" s="22">
        <v>0.6</v>
      </c>
      <c r="J34" s="22">
        <v>0.9</v>
      </c>
      <c r="K34" s="22">
        <v>0.8</v>
      </c>
      <c r="L34" s="22">
        <v>1</v>
      </c>
      <c r="M34" s="22">
        <v>0.9</v>
      </c>
      <c r="N34" s="23">
        <v>0.7</v>
      </c>
      <c r="O34" s="22">
        <v>0.9</v>
      </c>
      <c r="P34" s="22">
        <v>0.8</v>
      </c>
      <c r="Q34" s="22">
        <v>0.9</v>
      </c>
      <c r="R34" s="23">
        <v>0.3</v>
      </c>
      <c r="S34" s="23">
        <v>0.5</v>
      </c>
      <c r="T34" s="23">
        <v>0.8</v>
      </c>
      <c r="U34" s="23">
        <v>1</v>
      </c>
      <c r="V34" s="20">
        <v>0</v>
      </c>
      <c r="W34" s="20">
        <v>0.2</v>
      </c>
      <c r="X34" s="20">
        <v>0.4</v>
      </c>
      <c r="Y34" s="20">
        <v>0.8</v>
      </c>
      <c r="Z34" s="20">
        <v>0.3</v>
      </c>
      <c r="AA34" s="20">
        <v>0.8</v>
      </c>
      <c r="AB34" s="20">
        <v>0.5</v>
      </c>
      <c r="AC34" s="20">
        <v>0.1</v>
      </c>
      <c r="AD34" s="20">
        <v>0.1</v>
      </c>
      <c r="AE34" s="20">
        <v>0.3</v>
      </c>
      <c r="AF34" s="20">
        <v>0.4</v>
      </c>
      <c r="AG34" s="20">
        <v>0.6</v>
      </c>
      <c r="AH34" s="20">
        <v>0.3</v>
      </c>
      <c r="AI34" s="20">
        <v>0.7</v>
      </c>
      <c r="AJ34" s="20">
        <v>0.5</v>
      </c>
      <c r="AK34" s="35">
        <v>0.2</v>
      </c>
    </row>
    <row r="35" spans="1:39" s="40" customFormat="1" ht="12.5" x14ac:dyDescent="0.25">
      <c r="B35" s="43" t="s">
        <v>2</v>
      </c>
      <c r="C35" s="39" t="s">
        <v>8</v>
      </c>
      <c r="D35" s="39" t="s">
        <v>12</v>
      </c>
      <c r="E35" s="39" t="s">
        <v>18</v>
      </c>
      <c r="F35" s="39" t="s">
        <v>19</v>
      </c>
      <c r="G35" s="22">
        <v>0.5</v>
      </c>
      <c r="H35" s="22">
        <v>0.6</v>
      </c>
      <c r="I35" s="22">
        <v>0.9</v>
      </c>
      <c r="J35" s="22">
        <v>0.6</v>
      </c>
      <c r="K35" s="22">
        <v>0.8</v>
      </c>
      <c r="L35" s="22">
        <v>0.5</v>
      </c>
      <c r="M35" s="22">
        <v>0.5</v>
      </c>
      <c r="N35" s="23">
        <v>0.6</v>
      </c>
      <c r="O35" s="22">
        <v>0.8</v>
      </c>
      <c r="P35" s="22">
        <v>0.4</v>
      </c>
      <c r="Q35" s="22">
        <v>0.6</v>
      </c>
      <c r="R35" s="23">
        <v>0.7</v>
      </c>
      <c r="S35" s="23">
        <v>0.8</v>
      </c>
      <c r="T35" s="23">
        <v>0.7</v>
      </c>
      <c r="U35" s="23">
        <v>0.7</v>
      </c>
      <c r="V35" s="20">
        <v>0.2</v>
      </c>
      <c r="W35" s="20">
        <v>0.4</v>
      </c>
      <c r="X35" s="20">
        <v>0.5</v>
      </c>
      <c r="Y35" s="20">
        <v>0.6</v>
      </c>
      <c r="Z35" s="20">
        <v>0.4</v>
      </c>
      <c r="AA35" s="20">
        <v>0.6</v>
      </c>
      <c r="AB35" s="20">
        <v>0.5</v>
      </c>
      <c r="AC35" s="20">
        <v>0.5</v>
      </c>
      <c r="AD35" s="20">
        <v>0.1</v>
      </c>
      <c r="AE35" s="20">
        <v>0.3</v>
      </c>
      <c r="AF35" s="20">
        <v>0.4</v>
      </c>
      <c r="AG35" s="20">
        <v>0.6</v>
      </c>
      <c r="AH35" s="20">
        <v>0.4</v>
      </c>
      <c r="AI35" s="20">
        <v>0.7</v>
      </c>
      <c r="AJ35" s="20">
        <v>0.6</v>
      </c>
      <c r="AK35" s="35">
        <v>0.5</v>
      </c>
    </row>
    <row r="36" spans="1:39" s="40" customFormat="1" ht="12.5" x14ac:dyDescent="0.25">
      <c r="B36" s="43" t="s">
        <v>2</v>
      </c>
      <c r="C36" s="39" t="s">
        <v>8</v>
      </c>
      <c r="D36" s="41" t="s">
        <v>9</v>
      </c>
      <c r="E36" s="39" t="s">
        <v>13</v>
      </c>
      <c r="F36" s="39" t="s">
        <v>19</v>
      </c>
      <c r="G36" s="22">
        <v>1</v>
      </c>
      <c r="H36" s="22">
        <v>0.8</v>
      </c>
      <c r="I36" s="22">
        <v>0.3</v>
      </c>
      <c r="J36" s="22">
        <v>0.7</v>
      </c>
      <c r="K36" s="22">
        <v>0.5</v>
      </c>
      <c r="L36" s="22">
        <v>0.8</v>
      </c>
      <c r="M36" s="22">
        <v>0.9</v>
      </c>
      <c r="N36" s="23">
        <v>0.2</v>
      </c>
      <c r="O36" s="22">
        <v>0.8</v>
      </c>
      <c r="P36" s="22">
        <v>0</v>
      </c>
      <c r="Q36" s="22">
        <v>0.1</v>
      </c>
      <c r="R36" s="23">
        <v>0.9</v>
      </c>
      <c r="S36" s="23">
        <v>0.6</v>
      </c>
      <c r="T36" s="23">
        <v>0.7</v>
      </c>
      <c r="U36" s="23">
        <v>0.8</v>
      </c>
      <c r="V36" s="20">
        <v>0.1</v>
      </c>
      <c r="W36" s="20">
        <v>0.2</v>
      </c>
      <c r="X36" s="20">
        <v>0.3</v>
      </c>
      <c r="Y36" s="20">
        <v>0.5</v>
      </c>
      <c r="Z36" s="20">
        <v>0.4</v>
      </c>
      <c r="AA36" s="20">
        <v>0.7</v>
      </c>
      <c r="AB36" s="20">
        <v>0.3</v>
      </c>
      <c r="AC36" s="20">
        <v>0.2</v>
      </c>
      <c r="AD36" s="20">
        <v>0.1</v>
      </c>
      <c r="AE36" s="20">
        <v>0.4</v>
      </c>
      <c r="AF36" s="20">
        <v>0.6</v>
      </c>
      <c r="AG36" s="20">
        <v>0.8</v>
      </c>
      <c r="AH36" s="20">
        <v>0.6</v>
      </c>
      <c r="AI36" s="20">
        <v>0.9</v>
      </c>
      <c r="AJ36" s="20">
        <v>0.5</v>
      </c>
      <c r="AK36" s="35">
        <v>0.4</v>
      </c>
    </row>
    <row r="37" spans="1:39" s="40" customFormat="1" ht="13" thickBot="1" x14ac:dyDescent="0.3">
      <c r="B37" s="44" t="s">
        <v>2</v>
      </c>
      <c r="C37" s="45" t="s">
        <v>8</v>
      </c>
      <c r="D37" s="46" t="s">
        <v>4</v>
      </c>
      <c r="E37" s="45" t="s">
        <v>18</v>
      </c>
      <c r="F37" s="56" t="s">
        <v>23</v>
      </c>
      <c r="G37" s="57">
        <v>0.1</v>
      </c>
      <c r="H37" s="57">
        <v>0.3</v>
      </c>
      <c r="I37" s="57">
        <v>0.2</v>
      </c>
      <c r="J37" s="57">
        <v>0.2</v>
      </c>
      <c r="K37" s="57">
        <v>0.3</v>
      </c>
      <c r="L37" s="57">
        <v>0.1</v>
      </c>
      <c r="M37" s="57">
        <v>0</v>
      </c>
      <c r="N37" s="58">
        <v>0.1</v>
      </c>
      <c r="O37" s="57">
        <v>0.2</v>
      </c>
      <c r="P37" s="57">
        <v>0</v>
      </c>
      <c r="Q37" s="57">
        <v>0.2</v>
      </c>
      <c r="R37" s="58">
        <v>0.2</v>
      </c>
      <c r="S37" s="58">
        <v>0.3</v>
      </c>
      <c r="T37" s="58">
        <v>0.1</v>
      </c>
      <c r="U37" s="58">
        <v>0.1</v>
      </c>
      <c r="V37" s="59">
        <v>0.2</v>
      </c>
      <c r="W37" s="59">
        <v>0.2</v>
      </c>
      <c r="X37" s="59">
        <v>0.3</v>
      </c>
      <c r="Y37" s="59">
        <v>0.3</v>
      </c>
      <c r="Z37" s="59">
        <v>0.2</v>
      </c>
      <c r="AA37" s="59">
        <v>0.3</v>
      </c>
      <c r="AB37" s="59">
        <v>0.1</v>
      </c>
      <c r="AC37" s="59">
        <v>0.1</v>
      </c>
      <c r="AD37" s="59">
        <v>0.1</v>
      </c>
      <c r="AE37" s="59">
        <v>0.2</v>
      </c>
      <c r="AF37" s="59">
        <v>0.2</v>
      </c>
      <c r="AG37" s="59">
        <v>0.3</v>
      </c>
      <c r="AH37" s="59">
        <v>0.2</v>
      </c>
      <c r="AI37" s="59">
        <v>0.3</v>
      </c>
      <c r="AJ37" s="59">
        <v>0.1</v>
      </c>
      <c r="AK37" s="60">
        <v>0.1</v>
      </c>
    </row>
    <row r="38" spans="1:39" ht="15.75" customHeight="1" x14ac:dyDescent="0.25">
      <c r="F38" s="67" t="s">
        <v>25</v>
      </c>
      <c r="G38" s="68">
        <f>AVERAGE(G7:G37)</f>
        <v>0.83870967741935487</v>
      </c>
      <c r="H38" s="68">
        <f t="shared" ref="H38:AK38" si="0">AVERAGE(H7:H37)</f>
        <v>0.73225806451612929</v>
      </c>
      <c r="I38" s="68">
        <f t="shared" si="0"/>
        <v>0.30967741935483878</v>
      </c>
      <c r="J38" s="68">
        <f t="shared" si="0"/>
        <v>0.83870967741935476</v>
      </c>
      <c r="K38" s="68">
        <f t="shared" si="0"/>
        <v>0.72580645161290325</v>
      </c>
      <c r="L38" s="68">
        <f t="shared" si="0"/>
        <v>0.79032258064516137</v>
      </c>
      <c r="M38" s="68">
        <f t="shared" si="0"/>
        <v>0.80322580645161268</v>
      </c>
      <c r="N38" s="68">
        <f t="shared" si="0"/>
        <v>0.3354838709677419</v>
      </c>
      <c r="O38" s="68">
        <f t="shared" si="0"/>
        <v>0.83870967741935476</v>
      </c>
      <c r="P38" s="68">
        <f t="shared" si="0"/>
        <v>0.37419354838709684</v>
      </c>
      <c r="Q38" s="68">
        <f t="shared" si="0"/>
        <v>0.53548387096774197</v>
      </c>
      <c r="R38" s="68">
        <f t="shared" si="0"/>
        <v>0.78709677419354818</v>
      </c>
      <c r="S38" s="68">
        <f t="shared" si="0"/>
        <v>0.77419354838709675</v>
      </c>
      <c r="T38" s="68">
        <f t="shared" si="0"/>
        <v>0.82580645161290323</v>
      </c>
      <c r="U38" s="68">
        <f t="shared" si="0"/>
        <v>0.85000000000000009</v>
      </c>
      <c r="V38" s="68">
        <f t="shared" si="0"/>
        <v>0.2354838709677419</v>
      </c>
      <c r="W38" s="68">
        <f t="shared" si="0"/>
        <v>0.35161290322580646</v>
      </c>
      <c r="X38" s="68">
        <f t="shared" si="0"/>
        <v>0.532258064516129</v>
      </c>
      <c r="Y38" s="68">
        <f t="shared" si="0"/>
        <v>0.76129032258064533</v>
      </c>
      <c r="Z38" s="68">
        <f t="shared" si="0"/>
        <v>0.51290322580645165</v>
      </c>
      <c r="AA38" s="68">
        <f t="shared" si="0"/>
        <v>0.82903225806451597</v>
      </c>
      <c r="AB38" s="68">
        <f t="shared" si="0"/>
        <v>0.50000000000000011</v>
      </c>
      <c r="AC38" s="68">
        <f t="shared" si="0"/>
        <v>0.46774193548387089</v>
      </c>
      <c r="AD38" s="68">
        <f t="shared" si="0"/>
        <v>0.11612903225806455</v>
      </c>
      <c r="AE38" s="68">
        <f t="shared" si="0"/>
        <v>0.30322580645161296</v>
      </c>
      <c r="AF38" s="68">
        <f t="shared" si="0"/>
        <v>0.45806451612903226</v>
      </c>
      <c r="AG38" s="68">
        <f t="shared" si="0"/>
        <v>0.64516129032258085</v>
      </c>
      <c r="AH38" s="68">
        <f t="shared" si="0"/>
        <v>0.50967741935483868</v>
      </c>
      <c r="AI38" s="68">
        <f t="shared" si="0"/>
        <v>0.77419354838709664</v>
      </c>
      <c r="AJ38" s="68">
        <f t="shared" si="0"/>
        <v>0.45483870967741946</v>
      </c>
      <c r="AK38" s="69">
        <f t="shared" si="0"/>
        <v>0.39032258064516123</v>
      </c>
    </row>
    <row r="39" spans="1:39" ht="15.75" customHeight="1" x14ac:dyDescent="0.25">
      <c r="F39" s="70" t="s">
        <v>24</v>
      </c>
      <c r="G39" s="61">
        <f t="shared" ref="G39:AK39" si="1">MEDIAN(G7:G37)</f>
        <v>1</v>
      </c>
      <c r="H39" s="61">
        <f t="shared" si="1"/>
        <v>0.8</v>
      </c>
      <c r="I39" s="61">
        <f t="shared" si="1"/>
        <v>0.3</v>
      </c>
      <c r="J39" s="61">
        <f t="shared" si="1"/>
        <v>0.9</v>
      </c>
      <c r="K39" s="61">
        <f t="shared" si="1"/>
        <v>0.8</v>
      </c>
      <c r="L39" s="61">
        <f t="shared" si="1"/>
        <v>0.8</v>
      </c>
      <c r="M39" s="61">
        <f t="shared" si="1"/>
        <v>0.9</v>
      </c>
      <c r="N39" s="61">
        <f t="shared" si="1"/>
        <v>0.2</v>
      </c>
      <c r="O39" s="61">
        <f t="shared" si="1"/>
        <v>0.9</v>
      </c>
      <c r="P39" s="61">
        <f t="shared" si="1"/>
        <v>0.4</v>
      </c>
      <c r="Q39" s="61">
        <f t="shared" si="1"/>
        <v>0.6</v>
      </c>
      <c r="R39" s="61">
        <f t="shared" si="1"/>
        <v>0.9</v>
      </c>
      <c r="S39" s="61">
        <f t="shared" si="1"/>
        <v>0.8</v>
      </c>
      <c r="T39" s="61">
        <f t="shared" si="1"/>
        <v>0.9</v>
      </c>
      <c r="U39" s="61">
        <f t="shared" si="1"/>
        <v>1</v>
      </c>
      <c r="V39" s="61">
        <f t="shared" si="1"/>
        <v>0.1</v>
      </c>
      <c r="W39" s="61">
        <f t="shared" si="1"/>
        <v>0.3</v>
      </c>
      <c r="X39" s="61">
        <f t="shared" si="1"/>
        <v>0.5</v>
      </c>
      <c r="Y39" s="61">
        <f t="shared" si="1"/>
        <v>0.8</v>
      </c>
      <c r="Z39" s="61">
        <f t="shared" si="1"/>
        <v>0.5</v>
      </c>
      <c r="AA39" s="61">
        <f t="shared" si="1"/>
        <v>0.9</v>
      </c>
      <c r="AB39" s="61">
        <f t="shared" si="1"/>
        <v>0.5</v>
      </c>
      <c r="AC39" s="61">
        <f t="shared" si="1"/>
        <v>0.5</v>
      </c>
      <c r="AD39" s="61">
        <f t="shared" si="1"/>
        <v>0.1</v>
      </c>
      <c r="AE39" s="61">
        <f t="shared" si="1"/>
        <v>0.3</v>
      </c>
      <c r="AF39" s="61">
        <f t="shared" si="1"/>
        <v>0.4</v>
      </c>
      <c r="AG39" s="61">
        <f t="shared" si="1"/>
        <v>0.7</v>
      </c>
      <c r="AH39" s="61">
        <f t="shared" si="1"/>
        <v>0.5</v>
      </c>
      <c r="AI39" s="61">
        <f t="shared" si="1"/>
        <v>0.8</v>
      </c>
      <c r="AJ39" s="61">
        <f t="shared" si="1"/>
        <v>0.4</v>
      </c>
      <c r="AK39" s="71">
        <f t="shared" si="1"/>
        <v>0.3</v>
      </c>
    </row>
    <row r="40" spans="1:39" ht="15.75" customHeight="1" x14ac:dyDescent="0.25">
      <c r="F40" s="70" t="s">
        <v>56</v>
      </c>
      <c r="G40" s="61">
        <f t="shared" ref="G40:AK40" si="2">STDEV(G7:G37)</f>
        <v>0.30075174630120743</v>
      </c>
      <c r="H40" s="61">
        <f t="shared" si="2"/>
        <v>0.2119545498044226</v>
      </c>
      <c r="I40" s="61">
        <f t="shared" si="2"/>
        <v>0.2150268800401125</v>
      </c>
      <c r="J40" s="61">
        <f t="shared" si="2"/>
        <v>0.20277642754988248</v>
      </c>
      <c r="K40" s="61">
        <f t="shared" si="2"/>
        <v>0.2365977485599893</v>
      </c>
      <c r="L40" s="61">
        <f t="shared" si="2"/>
        <v>0.2328874387763</v>
      </c>
      <c r="M40" s="61">
        <f t="shared" si="2"/>
        <v>0.24696001156427813</v>
      </c>
      <c r="N40" s="61">
        <f t="shared" si="2"/>
        <v>0.30610280092018566</v>
      </c>
      <c r="O40" s="61">
        <f t="shared" si="2"/>
        <v>0.22162644149535199</v>
      </c>
      <c r="P40" s="61">
        <f t="shared" si="2"/>
        <v>0.21597490893694715</v>
      </c>
      <c r="Q40" s="61">
        <f t="shared" si="2"/>
        <v>0.25631801483934519</v>
      </c>
      <c r="R40" s="61">
        <f t="shared" si="2"/>
        <v>0.2473080878632577</v>
      </c>
      <c r="S40" s="61">
        <f t="shared" si="2"/>
        <v>0.21286575101924982</v>
      </c>
      <c r="T40" s="61">
        <f t="shared" si="2"/>
        <v>0.22652114240615429</v>
      </c>
      <c r="U40" s="61">
        <f t="shared" si="2"/>
        <v>0.26749154031096178</v>
      </c>
      <c r="V40" s="61">
        <f t="shared" si="2"/>
        <v>0.33321503277090619</v>
      </c>
      <c r="W40" s="61">
        <f t="shared" si="2"/>
        <v>0.23786686436174817</v>
      </c>
      <c r="X40" s="61">
        <f t="shared" si="2"/>
        <v>0.19215808903815548</v>
      </c>
      <c r="Y40" s="61">
        <f t="shared" si="2"/>
        <v>0.23334869381084083</v>
      </c>
      <c r="Z40" s="61">
        <f t="shared" si="2"/>
        <v>0.26424980035800816</v>
      </c>
      <c r="AA40" s="61">
        <f t="shared" si="2"/>
        <v>0.17924573149189574</v>
      </c>
      <c r="AB40" s="61">
        <f t="shared" si="2"/>
        <v>0.20816659994661318</v>
      </c>
      <c r="AC40" s="61">
        <f t="shared" si="2"/>
        <v>0.23718782539609629</v>
      </c>
      <c r="AD40" s="61">
        <f t="shared" si="2"/>
        <v>0.18456575015162552</v>
      </c>
      <c r="AE40" s="61">
        <f t="shared" si="2"/>
        <v>0.17220892537407742</v>
      </c>
      <c r="AF40" s="61">
        <f t="shared" si="2"/>
        <v>0.1857851690320251</v>
      </c>
      <c r="AG40" s="61">
        <f t="shared" si="2"/>
        <v>0.22779919472702123</v>
      </c>
      <c r="AH40" s="61">
        <f t="shared" si="2"/>
        <v>0.22114073755518604</v>
      </c>
      <c r="AI40" s="61">
        <f t="shared" si="2"/>
        <v>0.17882531874333701</v>
      </c>
      <c r="AJ40" s="61">
        <f t="shared" si="2"/>
        <v>0.17481172668029507</v>
      </c>
      <c r="AK40" s="71">
        <f t="shared" si="2"/>
        <v>0.23288743877630025</v>
      </c>
      <c r="AL40" s="21">
        <f>MAX(Form_Responses[[#This Row],[Column13]:[Column43]])</f>
        <v>0.33321503277090619</v>
      </c>
      <c r="AM40" s="21">
        <f>MIN(Form_Responses[[#This Row],[Column13]:[Column43]])</f>
        <v>0.17220892537407742</v>
      </c>
    </row>
    <row r="41" spans="1:39" s="1" customFormat="1" ht="15.75" customHeight="1" x14ac:dyDescent="0.3">
      <c r="A41"/>
      <c r="B41"/>
      <c r="C41"/>
      <c r="D41"/>
      <c r="E41"/>
      <c r="F41" s="72" t="s">
        <v>68</v>
      </c>
      <c r="G41" s="62">
        <v>1</v>
      </c>
      <c r="H41" s="62">
        <v>0.96</v>
      </c>
      <c r="I41" s="62">
        <v>0.91</v>
      </c>
      <c r="J41" s="62">
        <v>0.98</v>
      </c>
      <c r="K41" s="62">
        <v>0.9</v>
      </c>
      <c r="L41" s="62">
        <v>0.97</v>
      </c>
      <c r="M41" s="62">
        <v>0.97</v>
      </c>
      <c r="N41" s="62">
        <v>0</v>
      </c>
      <c r="O41" s="62">
        <v>1</v>
      </c>
      <c r="P41" s="62">
        <v>0.6</v>
      </c>
      <c r="Q41" s="62">
        <v>0.76</v>
      </c>
      <c r="R41" s="62">
        <v>0.51</v>
      </c>
      <c r="S41" s="62">
        <v>1</v>
      </c>
      <c r="T41" s="62">
        <v>1</v>
      </c>
      <c r="U41" s="62">
        <v>1</v>
      </c>
      <c r="V41" s="62">
        <v>0.05</v>
      </c>
      <c r="W41" s="62">
        <v>0.08</v>
      </c>
      <c r="X41" s="62">
        <v>0.25</v>
      </c>
      <c r="Y41" s="62">
        <v>0.47</v>
      </c>
      <c r="Z41" s="62">
        <v>0.35</v>
      </c>
      <c r="AA41" s="62">
        <v>0.66</v>
      </c>
      <c r="AB41" s="62">
        <v>0.19</v>
      </c>
      <c r="AC41" s="62">
        <v>0.19</v>
      </c>
      <c r="AD41" s="62">
        <v>0.03</v>
      </c>
      <c r="AE41" s="62">
        <v>0.09</v>
      </c>
      <c r="AF41" s="62">
        <v>0.21</v>
      </c>
      <c r="AG41" s="62">
        <v>0.22</v>
      </c>
      <c r="AH41" s="62">
        <v>0.28999999999999998</v>
      </c>
      <c r="AI41" s="62">
        <v>0.49</v>
      </c>
      <c r="AJ41" s="62">
        <v>0.31</v>
      </c>
      <c r="AK41" s="73">
        <v>0.21</v>
      </c>
    </row>
    <row r="42" spans="1:39" ht="15.75" customHeight="1" x14ac:dyDescent="0.25">
      <c r="F42" s="74" t="s">
        <v>70</v>
      </c>
      <c r="G42" s="52">
        <f>_xlfn.RANK.AVG(G39,$G$39:$M$39,1)</f>
        <v>7</v>
      </c>
      <c r="H42" s="52">
        <f t="shared" ref="H42:M42" si="3">_xlfn.RANK.AVG(H39,$G$39:$M$39,1)</f>
        <v>3</v>
      </c>
      <c r="I42" s="52">
        <f t="shared" si="3"/>
        <v>1</v>
      </c>
      <c r="J42" s="52">
        <f t="shared" si="3"/>
        <v>5.5</v>
      </c>
      <c r="K42" s="52">
        <f t="shared" si="3"/>
        <v>3</v>
      </c>
      <c r="L42" s="52">
        <f t="shared" si="3"/>
        <v>3</v>
      </c>
      <c r="M42" s="52">
        <f t="shared" si="3"/>
        <v>5.5</v>
      </c>
      <c r="N42" s="52">
        <f>_xlfn.RANK.AVG(N39,$N$39:$U$39,1)</f>
        <v>1</v>
      </c>
      <c r="O42" s="52">
        <f t="shared" ref="O42:U42" si="4">_xlfn.RANK.AVG(O39,$N$39:$U$39,1)</f>
        <v>6</v>
      </c>
      <c r="P42" s="52">
        <f t="shared" si="4"/>
        <v>2</v>
      </c>
      <c r="Q42" s="52">
        <f t="shared" si="4"/>
        <v>3</v>
      </c>
      <c r="R42" s="52">
        <f t="shared" si="4"/>
        <v>6</v>
      </c>
      <c r="S42" s="52">
        <f t="shared" si="4"/>
        <v>4</v>
      </c>
      <c r="T42" s="52">
        <f t="shared" si="4"/>
        <v>6</v>
      </c>
      <c r="U42" s="52">
        <f t="shared" si="4"/>
        <v>8</v>
      </c>
      <c r="V42" s="52">
        <f>_xlfn.RANK.AVG(V39,$V$39:$AC$39,1)</f>
        <v>1</v>
      </c>
      <c r="W42" s="52">
        <f t="shared" ref="W42:AC42" si="5">_xlfn.RANK.AVG(W39,$V$39:$AC$39,1)</f>
        <v>2</v>
      </c>
      <c r="X42" s="52">
        <f t="shared" si="5"/>
        <v>4.5</v>
      </c>
      <c r="Y42" s="52">
        <f t="shared" si="5"/>
        <v>7</v>
      </c>
      <c r="Z42" s="52">
        <f t="shared" si="5"/>
        <v>4.5</v>
      </c>
      <c r="AA42" s="52">
        <f t="shared" si="5"/>
        <v>8</v>
      </c>
      <c r="AB42" s="52">
        <f t="shared" si="5"/>
        <v>4.5</v>
      </c>
      <c r="AC42" s="52">
        <f t="shared" si="5"/>
        <v>4.5</v>
      </c>
      <c r="AD42" s="52">
        <f>_xlfn.RANK.AVG(AD39,$AD$39:$AK$39,1)</f>
        <v>1</v>
      </c>
      <c r="AE42" s="52">
        <f t="shared" ref="AE42:AK42" si="6">_xlfn.RANK.AVG(AE39,$AD$39:$AK$39,1)</f>
        <v>2.5</v>
      </c>
      <c r="AF42" s="52">
        <f t="shared" si="6"/>
        <v>4.5</v>
      </c>
      <c r="AG42" s="52">
        <f t="shared" si="6"/>
        <v>7</v>
      </c>
      <c r="AH42" s="52">
        <f t="shared" si="6"/>
        <v>6</v>
      </c>
      <c r="AI42" s="52">
        <f t="shared" si="6"/>
        <v>8</v>
      </c>
      <c r="AJ42" s="52">
        <f t="shared" si="6"/>
        <v>4.5</v>
      </c>
      <c r="AK42" s="75">
        <f t="shared" si="6"/>
        <v>2.5</v>
      </c>
    </row>
    <row r="43" spans="1:39" ht="15.75" customHeight="1" x14ac:dyDescent="0.25">
      <c r="F43" s="74" t="s">
        <v>69</v>
      </c>
      <c r="G43" s="52">
        <f>_xlfn.RANK.AVG(G41,$G$41:$M$41,1)</f>
        <v>7</v>
      </c>
      <c r="H43" s="52">
        <f t="shared" ref="H43:M43" si="7">_xlfn.RANK.AVG(H41,$G$41:$M$41,1)</f>
        <v>3</v>
      </c>
      <c r="I43" s="52">
        <f t="shared" si="7"/>
        <v>2</v>
      </c>
      <c r="J43" s="52">
        <f t="shared" si="7"/>
        <v>6</v>
      </c>
      <c r="K43" s="52">
        <f t="shared" si="7"/>
        <v>1</v>
      </c>
      <c r="L43" s="52">
        <f t="shared" si="7"/>
        <v>4.5</v>
      </c>
      <c r="M43" s="52">
        <f t="shared" si="7"/>
        <v>4.5</v>
      </c>
      <c r="N43" s="52">
        <f>_xlfn.RANK.AVG(N41,$N$41:$U$41,1)</f>
        <v>1</v>
      </c>
      <c r="O43" s="52">
        <f t="shared" ref="O43:U43" si="8">_xlfn.RANK.AVG(O41,$N$41:$U$41,1)</f>
        <v>6.5</v>
      </c>
      <c r="P43" s="52">
        <f t="shared" si="8"/>
        <v>3</v>
      </c>
      <c r="Q43" s="52">
        <f t="shared" si="8"/>
        <v>4</v>
      </c>
      <c r="R43" s="52">
        <f t="shared" si="8"/>
        <v>2</v>
      </c>
      <c r="S43" s="52">
        <f t="shared" si="8"/>
        <v>6.5</v>
      </c>
      <c r="T43" s="52">
        <f t="shared" si="8"/>
        <v>6.5</v>
      </c>
      <c r="U43" s="52">
        <f t="shared" si="8"/>
        <v>6.5</v>
      </c>
      <c r="V43" s="52">
        <f>_xlfn.RANK.AVG(V41,$V$41:$AC$41,1)</f>
        <v>1</v>
      </c>
      <c r="W43" s="52">
        <f t="shared" ref="W43:AC43" si="9">_xlfn.RANK.AVG(W41,$V$41:$AC$41,1)</f>
        <v>2</v>
      </c>
      <c r="X43" s="52">
        <f t="shared" si="9"/>
        <v>5</v>
      </c>
      <c r="Y43" s="52">
        <f t="shared" si="9"/>
        <v>7</v>
      </c>
      <c r="Z43" s="52">
        <f t="shared" si="9"/>
        <v>6</v>
      </c>
      <c r="AA43" s="52">
        <f t="shared" si="9"/>
        <v>8</v>
      </c>
      <c r="AB43" s="52">
        <f t="shared" si="9"/>
        <v>3.5</v>
      </c>
      <c r="AC43" s="52">
        <f t="shared" si="9"/>
        <v>3.5</v>
      </c>
      <c r="AD43" s="52">
        <f>_xlfn.RANK.AVG(AD41,$AD$41:$AK$41,1)</f>
        <v>1</v>
      </c>
      <c r="AE43" s="52">
        <f t="shared" ref="AE43:AK43" si="10">_xlfn.RANK.AVG(AE41,$AD$41:$AK$41,1)</f>
        <v>2</v>
      </c>
      <c r="AF43" s="52">
        <f t="shared" si="10"/>
        <v>3.5</v>
      </c>
      <c r="AG43" s="52">
        <f t="shared" si="10"/>
        <v>5</v>
      </c>
      <c r="AH43" s="52">
        <f t="shared" si="10"/>
        <v>6</v>
      </c>
      <c r="AI43" s="52">
        <f t="shared" si="10"/>
        <v>8</v>
      </c>
      <c r="AJ43" s="52">
        <f t="shared" si="10"/>
        <v>7</v>
      </c>
      <c r="AK43" s="75">
        <f t="shared" si="10"/>
        <v>3.5</v>
      </c>
    </row>
    <row r="44" spans="1:39" ht="15.75" customHeight="1" x14ac:dyDescent="0.3">
      <c r="F44" s="76" t="s">
        <v>57</v>
      </c>
      <c r="G44" s="103">
        <f>CORREL(G42:M42,G43:M43)</f>
        <v>0.84022108965491404</v>
      </c>
      <c r="H44" s="63"/>
      <c r="I44" s="63"/>
      <c r="J44" s="63"/>
      <c r="K44" s="63"/>
      <c r="L44" s="63"/>
      <c r="M44" s="63"/>
      <c r="N44" s="102">
        <f>CORREL(N42:U42,N43:U43)</f>
        <v>0.64984405613754537</v>
      </c>
      <c r="O44" s="63"/>
      <c r="P44" s="63"/>
      <c r="Q44" s="63"/>
      <c r="R44" s="63"/>
      <c r="S44" s="63"/>
      <c r="T44" s="63"/>
      <c r="U44" s="63"/>
      <c r="V44" s="102">
        <f>CORREL(V42:AC42,V43:AC43)</f>
        <v>0.94422786712754936</v>
      </c>
      <c r="W44" s="63"/>
      <c r="X44" s="63"/>
      <c r="Y44" s="63"/>
      <c r="Z44" s="63"/>
      <c r="AA44" s="63"/>
      <c r="AB44" s="63"/>
      <c r="AC44" s="63"/>
      <c r="AD44" s="102">
        <f>CORREL(AD42:AK42,AD43:AK43)</f>
        <v>0.84850043173964063</v>
      </c>
      <c r="AE44" s="63"/>
      <c r="AF44" s="63"/>
      <c r="AG44" s="63"/>
      <c r="AH44" s="63"/>
      <c r="AI44" s="63"/>
      <c r="AJ44" s="63"/>
      <c r="AK44" s="77"/>
    </row>
    <row r="45" spans="1:39" ht="15.75" customHeight="1" x14ac:dyDescent="0.25">
      <c r="F45" s="74" t="s">
        <v>28</v>
      </c>
      <c r="G45" s="65">
        <f t="shared" ref="G45:AK45" si="11">ABS(G38-G41)</f>
        <v>0.16129032258064513</v>
      </c>
      <c r="H45" s="65">
        <f t="shared" si="11"/>
        <v>0.22774193548387067</v>
      </c>
      <c r="I45" s="65">
        <f t="shared" si="11"/>
        <v>0.60032258064516131</v>
      </c>
      <c r="J45" s="65">
        <f t="shared" si="11"/>
        <v>0.14129032258064522</v>
      </c>
      <c r="K45" s="65">
        <f t="shared" si="11"/>
        <v>0.17419354838709677</v>
      </c>
      <c r="L45" s="65">
        <f t="shared" si="11"/>
        <v>0.17967741935483861</v>
      </c>
      <c r="M45" s="65">
        <f t="shared" si="11"/>
        <v>0.1667741935483873</v>
      </c>
      <c r="N45" s="65">
        <f t="shared" si="11"/>
        <v>0.3354838709677419</v>
      </c>
      <c r="O45" s="65">
        <f t="shared" si="11"/>
        <v>0.16129032258064524</v>
      </c>
      <c r="P45" s="65">
        <f t="shared" si="11"/>
        <v>0.22580645161290314</v>
      </c>
      <c r="Q45" s="65">
        <f t="shared" si="11"/>
        <v>0.22451612903225804</v>
      </c>
      <c r="R45" s="65">
        <f t="shared" si="11"/>
        <v>0.27709677419354817</v>
      </c>
      <c r="S45" s="65">
        <f t="shared" si="11"/>
        <v>0.22580645161290325</v>
      </c>
      <c r="T45" s="65">
        <f t="shared" si="11"/>
        <v>0.17419354838709677</v>
      </c>
      <c r="U45" s="65">
        <f t="shared" si="11"/>
        <v>0.14999999999999991</v>
      </c>
      <c r="V45" s="65">
        <f t="shared" si="11"/>
        <v>0.18548387096774188</v>
      </c>
      <c r="W45" s="65">
        <f t="shared" si="11"/>
        <v>0.27161290322580645</v>
      </c>
      <c r="X45" s="65">
        <f t="shared" si="11"/>
        <v>0.282258064516129</v>
      </c>
      <c r="Y45" s="65">
        <f t="shared" si="11"/>
        <v>0.29129032258064536</v>
      </c>
      <c r="Z45" s="65">
        <f t="shared" si="11"/>
        <v>0.16290322580645167</v>
      </c>
      <c r="AA45" s="65">
        <f t="shared" si="11"/>
        <v>0.16903225806451594</v>
      </c>
      <c r="AB45" s="65">
        <f t="shared" si="11"/>
        <v>0.31000000000000011</v>
      </c>
      <c r="AC45" s="65">
        <f t="shared" si="11"/>
        <v>0.27774193548387088</v>
      </c>
      <c r="AD45" s="65">
        <f t="shared" si="11"/>
        <v>8.612903225806455E-2</v>
      </c>
      <c r="AE45" s="65">
        <f t="shared" si="11"/>
        <v>0.21322580645161296</v>
      </c>
      <c r="AF45" s="65">
        <f t="shared" si="11"/>
        <v>0.24806451612903227</v>
      </c>
      <c r="AG45" s="65">
        <f t="shared" si="11"/>
        <v>0.42516129032258088</v>
      </c>
      <c r="AH45" s="65">
        <f t="shared" si="11"/>
        <v>0.2196774193548387</v>
      </c>
      <c r="AI45" s="65">
        <f t="shared" si="11"/>
        <v>0.28419354838709665</v>
      </c>
      <c r="AJ45" s="65">
        <f t="shared" si="11"/>
        <v>0.14483870967741946</v>
      </c>
      <c r="AK45" s="78">
        <f t="shared" si="11"/>
        <v>0.18032258064516124</v>
      </c>
    </row>
    <row r="46" spans="1:39" ht="15.75" customHeight="1" x14ac:dyDescent="0.3">
      <c r="F46" s="76" t="s">
        <v>75</v>
      </c>
      <c r="G46" s="64">
        <f>AVERAGE(G45:M45)*100</f>
        <v>23.589861751152075</v>
      </c>
      <c r="H46" s="63"/>
      <c r="I46" s="63"/>
      <c r="J46" s="63"/>
      <c r="K46" s="63"/>
      <c r="L46" s="63"/>
      <c r="M46" s="63"/>
      <c r="N46" s="64">
        <f>AVERAGE(N45:U45)*100</f>
        <v>22.177419354838708</v>
      </c>
      <c r="O46" s="63"/>
      <c r="P46" s="63"/>
      <c r="Q46" s="63"/>
      <c r="R46" s="63"/>
      <c r="S46" s="63"/>
      <c r="T46" s="63"/>
      <c r="U46" s="63"/>
      <c r="V46" s="64">
        <f>AVERAGE(V45:AC45)*100</f>
        <v>24.379032258064516</v>
      </c>
      <c r="W46" s="63"/>
      <c r="X46" s="63"/>
      <c r="Y46" s="63"/>
      <c r="Z46" s="63"/>
      <c r="AA46" s="63"/>
      <c r="AB46" s="63"/>
      <c r="AC46" s="63"/>
      <c r="AD46" s="64">
        <f>AVERAGE(AD45:AK45)*100</f>
        <v>22.520161290322584</v>
      </c>
      <c r="AE46" s="63"/>
      <c r="AF46" s="63"/>
      <c r="AG46" s="63"/>
      <c r="AH46" s="63"/>
      <c r="AI46" s="63"/>
      <c r="AJ46" s="63"/>
      <c r="AK46" s="79"/>
    </row>
    <row r="47" spans="1:39" ht="15.75" customHeight="1" x14ac:dyDescent="0.25">
      <c r="F47" s="74" t="s">
        <v>71</v>
      </c>
      <c r="G47" s="66">
        <f t="shared" ref="G47:AK47" si="12">POWER((G38-G41),2)</f>
        <v>2.6014568158168563E-2</v>
      </c>
      <c r="H47" s="66">
        <f t="shared" si="12"/>
        <v>5.1866389177939509E-2</v>
      </c>
      <c r="I47" s="66">
        <f t="shared" si="12"/>
        <v>0.36038720083246623</v>
      </c>
      <c r="J47" s="66">
        <f t="shared" si="12"/>
        <v>1.9962955254942787E-2</v>
      </c>
      <c r="K47" s="66">
        <f t="shared" si="12"/>
        <v>3.0343392299687827E-2</v>
      </c>
      <c r="L47" s="66">
        <f t="shared" si="12"/>
        <v>3.228397502601453E-2</v>
      </c>
      <c r="M47" s="66">
        <f t="shared" si="12"/>
        <v>2.7813631633714947E-2</v>
      </c>
      <c r="N47" s="66">
        <f t="shared" si="12"/>
        <v>0.1125494276795005</v>
      </c>
      <c r="O47" s="66">
        <f t="shared" si="12"/>
        <v>2.6014568158168602E-2</v>
      </c>
      <c r="P47" s="66">
        <f t="shared" si="12"/>
        <v>5.0988553590010366E-2</v>
      </c>
      <c r="Q47" s="66">
        <f t="shared" si="12"/>
        <v>5.0407492195629539E-2</v>
      </c>
      <c r="R47" s="66">
        <f t="shared" si="12"/>
        <v>7.6782622268470227E-2</v>
      </c>
      <c r="S47" s="66">
        <f t="shared" si="12"/>
        <v>5.0988553590010414E-2</v>
      </c>
      <c r="T47" s="66">
        <f t="shared" si="12"/>
        <v>3.0343392299687827E-2</v>
      </c>
      <c r="U47" s="66">
        <f t="shared" si="12"/>
        <v>2.2499999999999975E-2</v>
      </c>
      <c r="V47" s="66">
        <f t="shared" si="12"/>
        <v>3.4404266389177922E-2</v>
      </c>
      <c r="W47" s="66">
        <f t="shared" si="12"/>
        <v>7.3773569198751304E-2</v>
      </c>
      <c r="X47" s="66">
        <f t="shared" si="12"/>
        <v>7.9669614984391249E-2</v>
      </c>
      <c r="Y47" s="66">
        <f t="shared" si="12"/>
        <v>8.4850052029136425E-2</v>
      </c>
      <c r="Z47" s="66">
        <f t="shared" si="12"/>
        <v>2.653746097814778E-2</v>
      </c>
      <c r="AA47" s="66">
        <f t="shared" si="12"/>
        <v>2.8571904266389114E-2</v>
      </c>
      <c r="AB47" s="66">
        <f t="shared" si="12"/>
        <v>9.6100000000000074E-2</v>
      </c>
      <c r="AC47" s="66">
        <f t="shared" si="12"/>
        <v>7.7140582726326692E-2</v>
      </c>
      <c r="AD47" s="66">
        <f t="shared" si="12"/>
        <v>7.4182101977107243E-3</v>
      </c>
      <c r="AE47" s="66">
        <f t="shared" si="12"/>
        <v>4.5465244536940709E-2</v>
      </c>
      <c r="AF47" s="66">
        <f t="shared" si="12"/>
        <v>6.1536004162330911E-2</v>
      </c>
      <c r="AG47" s="66">
        <f t="shared" si="12"/>
        <v>0.18076212278876191</v>
      </c>
      <c r="AH47" s="66">
        <f t="shared" si="12"/>
        <v>4.8258168574401662E-2</v>
      </c>
      <c r="AI47" s="66">
        <f t="shared" si="12"/>
        <v>8.0765972944849052E-2</v>
      </c>
      <c r="AJ47" s="66">
        <f t="shared" si="12"/>
        <v>2.0978251821019804E-2</v>
      </c>
      <c r="AK47" s="80">
        <f t="shared" si="12"/>
        <v>3.2516233090530679E-2</v>
      </c>
    </row>
    <row r="48" spans="1:39" ht="15.75" customHeight="1" thickBot="1" x14ac:dyDescent="0.35">
      <c r="F48" s="98" t="s">
        <v>76</v>
      </c>
      <c r="G48" s="99">
        <f>SQRT(AVERAGE(G47:M47))*100</f>
        <v>27.996737370704324</v>
      </c>
      <c r="H48" s="100"/>
      <c r="I48" s="100"/>
      <c r="J48" s="100"/>
      <c r="K48" s="100"/>
      <c r="L48" s="100"/>
      <c r="M48" s="100"/>
      <c r="N48" s="99">
        <f>SQRT(AVERAGE(N47:U47))*100</f>
        <v>22.928546884328426</v>
      </c>
      <c r="O48" s="100"/>
      <c r="P48" s="100"/>
      <c r="Q48" s="100"/>
      <c r="R48" s="100"/>
      <c r="S48" s="100"/>
      <c r="T48" s="100"/>
      <c r="U48" s="100"/>
      <c r="V48" s="99">
        <f>SQRT(AVERAGE(V47:AC47))*100</f>
        <v>25.026172564245631</v>
      </c>
      <c r="W48" s="100"/>
      <c r="X48" s="100"/>
      <c r="Y48" s="100"/>
      <c r="Z48" s="100"/>
      <c r="AA48" s="100"/>
      <c r="AB48" s="100"/>
      <c r="AC48" s="100"/>
      <c r="AD48" s="99">
        <f>SQRT(AVERAGE(AD47:AK47))*100</f>
        <v>24.436146589543981</v>
      </c>
      <c r="AE48" s="100"/>
      <c r="AF48" s="100"/>
      <c r="AG48" s="100"/>
      <c r="AH48" s="100"/>
      <c r="AI48" s="100"/>
      <c r="AJ48" s="100"/>
      <c r="AK48" s="101"/>
    </row>
    <row r="49" spans="2:37" ht="15.75" customHeight="1" thickBot="1" x14ac:dyDescent="0.3">
      <c r="F49" s="2"/>
      <c r="G49" s="3"/>
      <c r="N49" s="3"/>
      <c r="V49" s="3"/>
      <c r="AD49" s="3"/>
    </row>
    <row r="50" spans="2:37" s="40" customFormat="1" ht="25.25" customHeight="1" x14ac:dyDescent="0.25">
      <c r="B50" s="88" t="s">
        <v>66</v>
      </c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90"/>
    </row>
    <row r="51" spans="2:37" ht="25" x14ac:dyDescent="0.25">
      <c r="B51" s="82" t="s">
        <v>0</v>
      </c>
      <c r="C51" s="83" t="s">
        <v>1</v>
      </c>
      <c r="D51" s="84" t="s">
        <v>74</v>
      </c>
      <c r="E51" s="84" t="s">
        <v>73</v>
      </c>
      <c r="F51" s="84" t="s">
        <v>58</v>
      </c>
      <c r="G51" s="85" t="s">
        <v>39</v>
      </c>
      <c r="H51" s="85" t="s">
        <v>40</v>
      </c>
      <c r="I51" s="85" t="s">
        <v>41</v>
      </c>
      <c r="J51" s="85" t="s">
        <v>59</v>
      </c>
      <c r="K51" s="85" t="s">
        <v>60</v>
      </c>
      <c r="L51" s="85" t="s">
        <v>61</v>
      </c>
      <c r="M51" s="85" t="s">
        <v>62</v>
      </c>
      <c r="N51" s="85" t="s">
        <v>42</v>
      </c>
      <c r="O51" s="85" t="s">
        <v>43</v>
      </c>
      <c r="P51" s="85" t="s">
        <v>44</v>
      </c>
      <c r="Q51" s="85" t="s">
        <v>45</v>
      </c>
      <c r="R51" s="85" t="s">
        <v>59</v>
      </c>
      <c r="S51" s="85" t="s">
        <v>60</v>
      </c>
      <c r="T51" s="85" t="s">
        <v>61</v>
      </c>
      <c r="U51" s="85" t="s">
        <v>62</v>
      </c>
      <c r="V51" s="85" t="s">
        <v>46</v>
      </c>
      <c r="W51" s="85" t="s">
        <v>47</v>
      </c>
      <c r="X51" s="85" t="s">
        <v>48</v>
      </c>
      <c r="Y51" s="85" t="s">
        <v>49</v>
      </c>
      <c r="Z51" s="85" t="s">
        <v>59</v>
      </c>
      <c r="AA51" s="85" t="s">
        <v>60</v>
      </c>
      <c r="AB51" s="85" t="s">
        <v>61</v>
      </c>
      <c r="AC51" s="85" t="s">
        <v>62</v>
      </c>
      <c r="AD51" s="85" t="s">
        <v>50</v>
      </c>
      <c r="AE51" s="85" t="s">
        <v>51</v>
      </c>
      <c r="AF51" s="85" t="s">
        <v>52</v>
      </c>
      <c r="AG51" s="85" t="s">
        <v>53</v>
      </c>
      <c r="AH51" s="85" t="s">
        <v>59</v>
      </c>
      <c r="AI51" s="85" t="s">
        <v>60</v>
      </c>
      <c r="AJ51" s="85" t="s">
        <v>61</v>
      </c>
      <c r="AK51" s="86" t="s">
        <v>62</v>
      </c>
    </row>
    <row r="52" spans="2:37" s="40" customFormat="1" ht="12.5" x14ac:dyDescent="0.25">
      <c r="B52" s="43" t="s">
        <v>7</v>
      </c>
      <c r="C52" s="39" t="s">
        <v>16</v>
      </c>
      <c r="D52" s="53" t="s">
        <v>17</v>
      </c>
      <c r="E52" s="39" t="s">
        <v>5</v>
      </c>
      <c r="F52" s="39" t="s">
        <v>14</v>
      </c>
      <c r="G52" s="20">
        <v>1</v>
      </c>
      <c r="H52" s="20">
        <v>1</v>
      </c>
      <c r="I52" s="20">
        <v>0.5</v>
      </c>
      <c r="J52" s="20">
        <v>1</v>
      </c>
      <c r="K52" s="20">
        <v>0.9</v>
      </c>
      <c r="L52" s="20">
        <v>1</v>
      </c>
      <c r="M52" s="20">
        <v>1</v>
      </c>
      <c r="N52" s="20">
        <v>0</v>
      </c>
      <c r="O52" s="20">
        <v>0.9</v>
      </c>
      <c r="P52" s="20">
        <v>0</v>
      </c>
      <c r="Q52" s="20">
        <v>0.2</v>
      </c>
      <c r="R52" s="20">
        <v>1</v>
      </c>
      <c r="S52" s="20">
        <v>0.5</v>
      </c>
      <c r="T52" s="20">
        <v>1</v>
      </c>
      <c r="U52" s="20">
        <v>1</v>
      </c>
      <c r="V52" s="20">
        <v>0</v>
      </c>
      <c r="W52" s="20">
        <v>0.1</v>
      </c>
      <c r="X52" s="20">
        <v>0.3</v>
      </c>
      <c r="Y52" s="20">
        <v>0.8</v>
      </c>
      <c r="Z52" s="20">
        <v>0.1</v>
      </c>
      <c r="AA52" s="20">
        <v>0.7</v>
      </c>
      <c r="AB52" s="20">
        <v>0.3</v>
      </c>
      <c r="AC52" s="20">
        <v>0.1</v>
      </c>
      <c r="AD52" s="20">
        <v>0</v>
      </c>
      <c r="AE52" s="20">
        <v>0.1</v>
      </c>
      <c r="AF52" s="20">
        <v>0.2</v>
      </c>
      <c r="AG52" s="20">
        <v>0.5</v>
      </c>
      <c r="AH52" s="20">
        <v>0.1</v>
      </c>
      <c r="AI52" s="20">
        <v>0.5</v>
      </c>
      <c r="AJ52" s="20">
        <v>0.4</v>
      </c>
      <c r="AK52" s="35">
        <v>0.3</v>
      </c>
    </row>
    <row r="53" spans="2:37" s="40" customFormat="1" ht="12.5" x14ac:dyDescent="0.25">
      <c r="B53" s="43" t="s">
        <v>7</v>
      </c>
      <c r="C53" s="39" t="s">
        <v>8</v>
      </c>
      <c r="D53" s="53" t="s">
        <v>17</v>
      </c>
      <c r="E53" s="39" t="s">
        <v>5</v>
      </c>
      <c r="F53" s="39" t="s">
        <v>14</v>
      </c>
      <c r="G53" s="20">
        <v>0.8</v>
      </c>
      <c r="H53" s="20">
        <v>0.9</v>
      </c>
      <c r="I53" s="20">
        <v>0.5</v>
      </c>
      <c r="J53" s="20">
        <v>0.5</v>
      </c>
      <c r="K53" s="20">
        <v>0.1</v>
      </c>
      <c r="L53" s="20">
        <v>0.4</v>
      </c>
      <c r="M53" s="20">
        <v>0.7</v>
      </c>
      <c r="N53" s="20">
        <v>0.5</v>
      </c>
      <c r="O53" s="20">
        <v>0.8</v>
      </c>
      <c r="P53" s="20">
        <v>0.2</v>
      </c>
      <c r="Q53" s="20">
        <v>0.2</v>
      </c>
      <c r="R53" s="50"/>
      <c r="S53" s="50"/>
      <c r="T53" s="50"/>
      <c r="U53" s="50"/>
      <c r="V53" s="20">
        <v>0.3</v>
      </c>
      <c r="W53" s="20">
        <v>0.2</v>
      </c>
      <c r="X53" s="20">
        <v>0.4</v>
      </c>
      <c r="Y53" s="20">
        <v>0.1</v>
      </c>
      <c r="Z53" s="20">
        <v>0.2</v>
      </c>
      <c r="AA53" s="20">
        <v>0.1</v>
      </c>
      <c r="AB53" s="20">
        <v>0.2</v>
      </c>
      <c r="AC53" s="20">
        <v>0.4</v>
      </c>
      <c r="AD53" s="20">
        <v>0.4</v>
      </c>
      <c r="AE53" s="20">
        <v>0.5</v>
      </c>
      <c r="AF53" s="20">
        <v>0.5</v>
      </c>
      <c r="AG53" s="20">
        <v>0.3</v>
      </c>
      <c r="AH53" s="20">
        <v>0.4</v>
      </c>
      <c r="AI53" s="20">
        <v>0.1</v>
      </c>
      <c r="AJ53" s="20">
        <v>0.4</v>
      </c>
      <c r="AK53" s="35">
        <v>0.5</v>
      </c>
    </row>
    <row r="54" spans="2:37" s="40" customFormat="1" ht="12.5" x14ac:dyDescent="0.25">
      <c r="B54" s="43" t="s">
        <v>2</v>
      </c>
      <c r="C54" s="39" t="s">
        <v>8</v>
      </c>
      <c r="D54" s="53" t="s">
        <v>17</v>
      </c>
      <c r="E54" s="39" t="s">
        <v>13</v>
      </c>
      <c r="F54" s="39" t="s">
        <v>11</v>
      </c>
      <c r="G54" s="20">
        <v>1</v>
      </c>
      <c r="H54" s="20">
        <v>0.7</v>
      </c>
      <c r="I54" s="20">
        <v>0.4</v>
      </c>
      <c r="J54" s="20">
        <v>1</v>
      </c>
      <c r="K54" s="20">
        <v>0.7</v>
      </c>
      <c r="L54" s="20">
        <v>1</v>
      </c>
      <c r="M54" s="20">
        <v>0.9</v>
      </c>
      <c r="N54" s="20">
        <v>0.2</v>
      </c>
      <c r="O54" s="20">
        <v>1</v>
      </c>
      <c r="P54" s="20">
        <v>0.3</v>
      </c>
      <c r="Q54" s="20">
        <v>0.5</v>
      </c>
      <c r="R54" s="20">
        <v>1</v>
      </c>
      <c r="S54" s="20">
        <v>0.8</v>
      </c>
      <c r="T54" s="20">
        <v>1</v>
      </c>
      <c r="U54" s="20">
        <v>1</v>
      </c>
      <c r="V54" s="20">
        <v>0</v>
      </c>
      <c r="W54" s="20">
        <v>0.3</v>
      </c>
      <c r="X54" s="20">
        <v>0.5</v>
      </c>
      <c r="Y54" s="20">
        <v>0.7</v>
      </c>
      <c r="Z54" s="20">
        <v>0.2</v>
      </c>
      <c r="AA54" s="20">
        <v>0.5</v>
      </c>
      <c r="AB54" s="20">
        <v>0.3</v>
      </c>
      <c r="AC54" s="20">
        <v>0.1</v>
      </c>
      <c r="AD54" s="20">
        <v>0</v>
      </c>
      <c r="AE54" s="20">
        <v>0.2</v>
      </c>
      <c r="AF54" s="20">
        <v>0.5</v>
      </c>
      <c r="AG54" s="20">
        <v>0.7</v>
      </c>
      <c r="AH54" s="20">
        <v>0.2</v>
      </c>
      <c r="AI54" s="20">
        <v>0.7</v>
      </c>
      <c r="AJ54" s="20">
        <v>0.4</v>
      </c>
      <c r="AK54" s="35">
        <v>0.5</v>
      </c>
    </row>
    <row r="55" spans="2:37" s="40" customFormat="1" ht="12.5" x14ac:dyDescent="0.25">
      <c r="B55" s="43" t="s">
        <v>2</v>
      </c>
      <c r="C55" s="39" t="s">
        <v>22</v>
      </c>
      <c r="D55" s="53" t="s">
        <v>17</v>
      </c>
      <c r="E55" s="39" t="s">
        <v>13</v>
      </c>
      <c r="F55" s="39" t="s">
        <v>14</v>
      </c>
      <c r="G55" s="20">
        <v>1</v>
      </c>
      <c r="H55" s="20">
        <v>0.8</v>
      </c>
      <c r="I55" s="20">
        <v>0.4</v>
      </c>
      <c r="J55" s="20">
        <v>1</v>
      </c>
      <c r="K55" s="20">
        <v>0.9</v>
      </c>
      <c r="L55" s="20">
        <v>1</v>
      </c>
      <c r="M55" s="20">
        <v>1</v>
      </c>
      <c r="N55" s="20">
        <v>0</v>
      </c>
      <c r="O55" s="20">
        <v>1</v>
      </c>
      <c r="P55" s="20">
        <v>0.7</v>
      </c>
      <c r="Q55" s="20">
        <v>0.8</v>
      </c>
      <c r="R55" s="20">
        <v>1</v>
      </c>
      <c r="S55" s="20">
        <v>0.8</v>
      </c>
      <c r="T55" s="20">
        <v>1</v>
      </c>
      <c r="U55" s="20">
        <v>1</v>
      </c>
      <c r="V55" s="20">
        <v>0</v>
      </c>
      <c r="W55" s="20">
        <v>0.3</v>
      </c>
      <c r="X55" s="20">
        <v>0.6</v>
      </c>
      <c r="Y55" s="20">
        <v>1</v>
      </c>
      <c r="Z55" s="20">
        <v>0.4</v>
      </c>
      <c r="AA55" s="20">
        <v>0.8</v>
      </c>
      <c r="AB55" s="20">
        <v>0.2</v>
      </c>
      <c r="AC55" s="20">
        <v>0</v>
      </c>
      <c r="AD55" s="20">
        <v>0</v>
      </c>
      <c r="AE55" s="20">
        <v>0.2</v>
      </c>
      <c r="AF55" s="20">
        <v>0.5</v>
      </c>
      <c r="AG55" s="20">
        <v>0.7</v>
      </c>
      <c r="AH55" s="20">
        <v>0.4</v>
      </c>
      <c r="AI55" s="20">
        <v>0.8</v>
      </c>
      <c r="AJ55" s="20">
        <v>0</v>
      </c>
      <c r="AK55" s="35">
        <v>0.6</v>
      </c>
    </row>
    <row r="56" spans="2:37" s="40" customFormat="1" ht="12.5" x14ac:dyDescent="0.25">
      <c r="B56" s="43" t="s">
        <v>2</v>
      </c>
      <c r="C56" s="39" t="s">
        <v>22</v>
      </c>
      <c r="D56" s="53" t="s">
        <v>17</v>
      </c>
      <c r="E56" s="39" t="s">
        <v>18</v>
      </c>
      <c r="F56" s="39" t="s">
        <v>14</v>
      </c>
      <c r="G56" s="20">
        <v>0.2</v>
      </c>
      <c r="H56" s="20">
        <v>0.2</v>
      </c>
      <c r="I56" s="20">
        <v>0.2</v>
      </c>
      <c r="J56" s="20">
        <v>0.2</v>
      </c>
      <c r="K56" s="20">
        <v>0.2</v>
      </c>
      <c r="L56" s="20">
        <v>0.2</v>
      </c>
      <c r="M56" s="20">
        <v>0.2</v>
      </c>
      <c r="N56" s="20">
        <v>0.2</v>
      </c>
      <c r="O56" s="20">
        <v>0.2</v>
      </c>
      <c r="P56" s="20">
        <v>0</v>
      </c>
      <c r="Q56" s="20">
        <v>0.1</v>
      </c>
      <c r="R56" s="20">
        <v>0.1</v>
      </c>
      <c r="S56" s="20">
        <v>0.2</v>
      </c>
      <c r="T56" s="20">
        <v>0.2</v>
      </c>
      <c r="U56" s="20">
        <v>0.2</v>
      </c>
      <c r="V56" s="20">
        <v>0</v>
      </c>
      <c r="W56" s="20">
        <v>0.1</v>
      </c>
      <c r="X56" s="20">
        <v>0.1</v>
      </c>
      <c r="Y56" s="20">
        <v>0.2</v>
      </c>
      <c r="Z56" s="20">
        <v>0.1</v>
      </c>
      <c r="AA56" s="20">
        <v>0.2</v>
      </c>
      <c r="AB56" s="20">
        <v>0.1</v>
      </c>
      <c r="AC56" s="20">
        <v>0.1</v>
      </c>
      <c r="AD56" s="20">
        <v>0</v>
      </c>
      <c r="AE56" s="20">
        <v>0.1</v>
      </c>
      <c r="AF56" s="20">
        <v>0.1</v>
      </c>
      <c r="AG56" s="20">
        <v>0.1</v>
      </c>
      <c r="AH56" s="20">
        <v>0.1</v>
      </c>
      <c r="AI56" s="20">
        <v>0.2</v>
      </c>
      <c r="AJ56" s="20">
        <v>0.1</v>
      </c>
      <c r="AK56" s="35">
        <v>0.1</v>
      </c>
    </row>
    <row r="57" spans="2:37" s="40" customFormat="1" ht="12.5" x14ac:dyDescent="0.25">
      <c r="B57" s="43" t="s">
        <v>2</v>
      </c>
      <c r="C57" s="39" t="s">
        <v>67</v>
      </c>
      <c r="D57" s="53" t="s">
        <v>17</v>
      </c>
      <c r="E57" s="39" t="s">
        <v>5</v>
      </c>
      <c r="F57" s="39" t="s">
        <v>23</v>
      </c>
      <c r="G57" s="20">
        <v>1</v>
      </c>
      <c r="H57" s="20">
        <v>1</v>
      </c>
      <c r="I57" s="20">
        <v>0</v>
      </c>
      <c r="J57" s="20">
        <v>1</v>
      </c>
      <c r="K57" s="20">
        <v>0.9</v>
      </c>
      <c r="L57" s="20">
        <v>1</v>
      </c>
      <c r="M57" s="20">
        <v>1</v>
      </c>
      <c r="N57" s="20">
        <v>0.5</v>
      </c>
      <c r="O57" s="20">
        <v>1</v>
      </c>
      <c r="P57" s="20">
        <v>0.4</v>
      </c>
      <c r="Q57" s="20">
        <v>1</v>
      </c>
      <c r="R57" s="20">
        <v>0.7</v>
      </c>
      <c r="S57" s="20">
        <v>0.4</v>
      </c>
      <c r="T57" s="20">
        <v>1</v>
      </c>
      <c r="U57" s="20">
        <v>1</v>
      </c>
      <c r="V57" s="20">
        <v>0</v>
      </c>
      <c r="W57" s="20">
        <v>0.2</v>
      </c>
      <c r="X57" s="20">
        <v>0.3</v>
      </c>
      <c r="Y57" s="20">
        <v>1</v>
      </c>
      <c r="Z57" s="20">
        <v>0</v>
      </c>
      <c r="AA57" s="20">
        <v>0.1</v>
      </c>
      <c r="AB57" s="20">
        <v>0.3</v>
      </c>
      <c r="AC57" s="20">
        <v>0</v>
      </c>
      <c r="AD57" s="20">
        <v>0</v>
      </c>
      <c r="AE57" s="20">
        <v>0.2</v>
      </c>
      <c r="AF57" s="20">
        <v>0.3</v>
      </c>
      <c r="AG57" s="20">
        <v>0.5</v>
      </c>
      <c r="AH57" s="20">
        <v>0</v>
      </c>
      <c r="AI57" s="20">
        <v>0.9</v>
      </c>
      <c r="AJ57" s="20">
        <v>0.5</v>
      </c>
      <c r="AK57" s="35">
        <v>0</v>
      </c>
    </row>
    <row r="58" spans="2:37" s="40" customFormat="1" ht="12.5" x14ac:dyDescent="0.25">
      <c r="B58" s="43" t="s">
        <v>2</v>
      </c>
      <c r="C58" s="39" t="s">
        <v>67</v>
      </c>
      <c r="D58" s="53" t="s">
        <v>17</v>
      </c>
      <c r="E58" s="39" t="s">
        <v>10</v>
      </c>
      <c r="F58" s="39" t="s">
        <v>11</v>
      </c>
      <c r="G58" s="20">
        <v>1</v>
      </c>
      <c r="H58" s="20">
        <v>0.5</v>
      </c>
      <c r="I58" s="20">
        <v>0</v>
      </c>
      <c r="J58" s="20">
        <v>1</v>
      </c>
      <c r="K58" s="20">
        <v>0.5</v>
      </c>
      <c r="L58" s="20">
        <v>0.7</v>
      </c>
      <c r="M58" s="20">
        <v>1</v>
      </c>
      <c r="N58" s="20">
        <v>0</v>
      </c>
      <c r="O58" s="20">
        <v>1</v>
      </c>
      <c r="P58" s="20">
        <v>0.3</v>
      </c>
      <c r="Q58" s="20">
        <v>0.3</v>
      </c>
      <c r="R58" s="20">
        <v>0.7</v>
      </c>
      <c r="S58" s="20">
        <v>0.8</v>
      </c>
      <c r="T58" s="20">
        <v>1</v>
      </c>
      <c r="U58" s="20">
        <v>1</v>
      </c>
      <c r="V58" s="20">
        <v>0</v>
      </c>
      <c r="W58" s="20">
        <v>0.2</v>
      </c>
      <c r="X58" s="20">
        <v>0.5</v>
      </c>
      <c r="Y58" s="20">
        <v>0.8</v>
      </c>
      <c r="Z58" s="20">
        <v>0.2</v>
      </c>
      <c r="AA58" s="20">
        <v>0.6</v>
      </c>
      <c r="AB58" s="20">
        <v>0.5</v>
      </c>
      <c r="AC58" s="20">
        <v>0.3</v>
      </c>
      <c r="AD58" s="20">
        <v>0</v>
      </c>
      <c r="AE58" s="20">
        <v>0.3</v>
      </c>
      <c r="AF58" s="20">
        <v>0.5</v>
      </c>
      <c r="AG58" s="20">
        <v>0.8</v>
      </c>
      <c r="AH58" s="20">
        <v>0.4</v>
      </c>
      <c r="AI58" s="20">
        <v>0.8</v>
      </c>
      <c r="AJ58" s="20">
        <v>0.6</v>
      </c>
      <c r="AK58" s="35">
        <v>0.5</v>
      </c>
    </row>
    <row r="59" spans="2:37" s="40" customFormat="1" ht="12.5" x14ac:dyDescent="0.25">
      <c r="B59" s="43" t="s">
        <v>2</v>
      </c>
      <c r="C59" s="39" t="s">
        <v>33</v>
      </c>
      <c r="D59" s="53" t="s">
        <v>17</v>
      </c>
      <c r="E59" s="39" t="s">
        <v>5</v>
      </c>
      <c r="F59" s="39" t="s">
        <v>14</v>
      </c>
      <c r="G59" s="20">
        <v>1</v>
      </c>
      <c r="H59" s="20">
        <v>1</v>
      </c>
      <c r="I59" s="20">
        <v>0.5</v>
      </c>
      <c r="J59" s="20">
        <v>1</v>
      </c>
      <c r="K59" s="20">
        <v>0.7</v>
      </c>
      <c r="L59" s="20">
        <v>1</v>
      </c>
      <c r="M59" s="20">
        <v>1</v>
      </c>
      <c r="N59" s="20">
        <v>0</v>
      </c>
      <c r="O59" s="20">
        <v>1</v>
      </c>
      <c r="P59" s="20">
        <v>0.8</v>
      </c>
      <c r="Q59" s="20">
        <v>1</v>
      </c>
      <c r="R59" s="20">
        <v>1</v>
      </c>
      <c r="S59" s="20">
        <v>0.8</v>
      </c>
      <c r="T59" s="20">
        <v>0.8</v>
      </c>
      <c r="U59" s="20">
        <v>1</v>
      </c>
      <c r="V59" s="20">
        <v>0</v>
      </c>
      <c r="W59" s="20">
        <v>0.2</v>
      </c>
      <c r="X59" s="20">
        <v>0.6</v>
      </c>
      <c r="Y59" s="20">
        <v>0.8</v>
      </c>
      <c r="Z59" s="20">
        <v>0.5</v>
      </c>
      <c r="AA59" s="20">
        <v>0.7</v>
      </c>
      <c r="AB59" s="20">
        <v>0.3</v>
      </c>
      <c r="AC59" s="20">
        <v>0.1</v>
      </c>
      <c r="AD59" s="20">
        <v>0</v>
      </c>
      <c r="AE59" s="20">
        <v>0.3</v>
      </c>
      <c r="AF59" s="20">
        <v>0.5</v>
      </c>
      <c r="AG59" s="20">
        <v>0.6</v>
      </c>
      <c r="AH59" s="20">
        <v>0.4</v>
      </c>
      <c r="AI59" s="20">
        <v>0.7</v>
      </c>
      <c r="AJ59" s="20">
        <v>0.4</v>
      </c>
      <c r="AK59" s="35">
        <v>0.1</v>
      </c>
    </row>
    <row r="60" spans="2:37" s="40" customFormat="1" ht="12.5" x14ac:dyDescent="0.25">
      <c r="B60" s="43" t="s">
        <v>7</v>
      </c>
      <c r="C60" s="53" t="s">
        <v>22</v>
      </c>
      <c r="D60" s="53" t="s">
        <v>17</v>
      </c>
      <c r="E60" s="39" t="s">
        <v>10</v>
      </c>
      <c r="F60" s="39" t="s">
        <v>14</v>
      </c>
      <c r="G60" s="20">
        <v>1</v>
      </c>
      <c r="H60" s="20">
        <v>1</v>
      </c>
      <c r="I60" s="20">
        <v>0.3</v>
      </c>
      <c r="J60" s="20">
        <v>1</v>
      </c>
      <c r="K60" s="20">
        <v>1</v>
      </c>
      <c r="L60" s="20">
        <v>1</v>
      </c>
      <c r="M60" s="20">
        <v>1</v>
      </c>
      <c r="N60" s="20">
        <v>0.3</v>
      </c>
      <c r="O60" s="20">
        <v>0.4</v>
      </c>
      <c r="P60" s="20">
        <v>0.3</v>
      </c>
      <c r="Q60" s="20">
        <v>0.3</v>
      </c>
      <c r="R60" s="20">
        <v>0.7</v>
      </c>
      <c r="S60" s="20">
        <v>0.8</v>
      </c>
      <c r="T60" s="20">
        <v>0.9</v>
      </c>
      <c r="U60" s="20">
        <v>0.9</v>
      </c>
      <c r="V60" s="20">
        <v>0</v>
      </c>
      <c r="W60" s="20">
        <v>0.1</v>
      </c>
      <c r="X60" s="20">
        <v>0.2</v>
      </c>
      <c r="Y60" s="20">
        <v>0.5</v>
      </c>
      <c r="Z60" s="20">
        <v>0.2</v>
      </c>
      <c r="AA60" s="20">
        <v>0.6</v>
      </c>
      <c r="AB60" s="20">
        <v>0.4</v>
      </c>
      <c r="AC60" s="20">
        <v>0.3</v>
      </c>
      <c r="AD60" s="20">
        <v>0</v>
      </c>
      <c r="AE60" s="20">
        <v>0.1</v>
      </c>
      <c r="AF60" s="20">
        <v>0.2</v>
      </c>
      <c r="AG60" s="20">
        <v>0.3</v>
      </c>
      <c r="AH60" s="20">
        <v>0.2</v>
      </c>
      <c r="AI60" s="20">
        <v>0.6</v>
      </c>
      <c r="AJ60" s="20">
        <v>0.3</v>
      </c>
      <c r="AK60" s="35">
        <v>0.4</v>
      </c>
    </row>
    <row r="61" spans="2:37" s="40" customFormat="1" ht="13" thickBot="1" x14ac:dyDescent="0.3">
      <c r="B61" s="44" t="s">
        <v>2</v>
      </c>
      <c r="C61" s="45" t="s">
        <v>21</v>
      </c>
      <c r="D61" s="87" t="s">
        <v>4</v>
      </c>
      <c r="E61" s="51" t="s">
        <v>5</v>
      </c>
      <c r="F61" s="45" t="s">
        <v>6</v>
      </c>
      <c r="G61" s="36">
        <v>1</v>
      </c>
      <c r="H61" s="36">
        <v>1</v>
      </c>
      <c r="I61" s="36">
        <v>0</v>
      </c>
      <c r="J61" s="36">
        <v>1</v>
      </c>
      <c r="K61" s="36">
        <v>0.8</v>
      </c>
      <c r="L61" s="36">
        <v>1</v>
      </c>
      <c r="M61" s="36">
        <v>1</v>
      </c>
      <c r="N61" s="36">
        <v>0</v>
      </c>
      <c r="O61" s="36">
        <v>1</v>
      </c>
      <c r="P61" s="36">
        <v>0.5</v>
      </c>
      <c r="Q61" s="36">
        <v>0.6</v>
      </c>
      <c r="R61" s="36">
        <v>1</v>
      </c>
      <c r="S61" s="36">
        <v>1</v>
      </c>
      <c r="T61" s="36">
        <v>1</v>
      </c>
      <c r="U61" s="36">
        <v>1</v>
      </c>
      <c r="V61" s="36">
        <v>0</v>
      </c>
      <c r="W61" s="36">
        <v>0.1</v>
      </c>
      <c r="X61" s="36">
        <v>0.2</v>
      </c>
      <c r="Y61" s="36">
        <v>0.6</v>
      </c>
      <c r="Z61" s="36">
        <v>0.2</v>
      </c>
      <c r="AA61" s="36">
        <v>0.8</v>
      </c>
      <c r="AB61" s="36">
        <v>0.1</v>
      </c>
      <c r="AC61" s="36">
        <v>0.2</v>
      </c>
      <c r="AD61" s="36">
        <v>0</v>
      </c>
      <c r="AE61" s="36">
        <v>0.1</v>
      </c>
      <c r="AF61" s="36">
        <v>0.2</v>
      </c>
      <c r="AG61" s="36">
        <v>0.2</v>
      </c>
      <c r="AH61" s="36">
        <v>0.2</v>
      </c>
      <c r="AI61" s="36">
        <v>0.7</v>
      </c>
      <c r="AJ61" s="36">
        <v>0.1</v>
      </c>
      <c r="AK61" s="37">
        <v>0.1</v>
      </c>
    </row>
  </sheetData>
  <mergeCells count="7">
    <mergeCell ref="B2:AK2"/>
    <mergeCell ref="B3:AK3"/>
    <mergeCell ref="B50:AK50"/>
    <mergeCell ref="G5:M5"/>
    <mergeCell ref="N5:U5"/>
    <mergeCell ref="V5:AC5"/>
    <mergeCell ref="AD5:AK5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FEF5-FE1D-415A-A6B6-61E84EA2DF27}">
  <dimension ref="A2:F33"/>
  <sheetViews>
    <sheetView zoomScale="40" zoomScaleNormal="40" workbookViewId="0">
      <selection activeCell="D39" sqref="D39"/>
    </sheetView>
  </sheetViews>
  <sheetFormatPr defaultRowHeight="12.5" x14ac:dyDescent="0.25"/>
  <cols>
    <col min="2" max="2" width="12.6328125" bestFit="1" customWidth="1"/>
    <col min="3" max="3" width="16.36328125" bestFit="1" customWidth="1"/>
    <col min="4" max="4" width="9.81640625" bestFit="1" customWidth="1"/>
  </cols>
  <sheetData>
    <row r="2" spans="1:6" x14ac:dyDescent="0.25">
      <c r="B2" t="s">
        <v>26</v>
      </c>
      <c r="C2" t="s">
        <v>27</v>
      </c>
      <c r="E2" s="4" t="s">
        <v>54</v>
      </c>
      <c r="F2" s="4" t="s">
        <v>55</v>
      </c>
    </row>
    <row r="3" spans="1:6" x14ac:dyDescent="0.25">
      <c r="A3" s="2" t="s">
        <v>39</v>
      </c>
      <c r="B3" s="4">
        <v>7</v>
      </c>
      <c r="C3" s="4">
        <v>7</v>
      </c>
      <c r="D3" s="95" t="s">
        <v>29</v>
      </c>
      <c r="E3" s="4">
        <v>1</v>
      </c>
      <c r="F3" s="4">
        <v>1</v>
      </c>
    </row>
    <row r="4" spans="1:6" x14ac:dyDescent="0.25">
      <c r="A4" s="2" t="s">
        <v>40</v>
      </c>
      <c r="B4" s="4">
        <v>3</v>
      </c>
      <c r="C4" s="4">
        <v>3</v>
      </c>
      <c r="D4" s="95"/>
      <c r="E4" s="4">
        <v>2</v>
      </c>
      <c r="F4" s="4">
        <v>2</v>
      </c>
    </row>
    <row r="5" spans="1:6" x14ac:dyDescent="0.25">
      <c r="A5" s="2" t="s">
        <v>41</v>
      </c>
      <c r="B5" s="4">
        <v>1</v>
      </c>
      <c r="C5" s="4">
        <v>2</v>
      </c>
      <c r="D5" s="95"/>
      <c r="E5" s="4">
        <v>3</v>
      </c>
      <c r="F5" s="4">
        <v>3</v>
      </c>
    </row>
    <row r="6" spans="1:6" x14ac:dyDescent="0.25">
      <c r="A6">
        <v>1</v>
      </c>
      <c r="B6" s="4">
        <v>6</v>
      </c>
      <c r="C6" s="4">
        <v>6</v>
      </c>
      <c r="D6" s="95"/>
      <c r="E6" s="4">
        <v>4</v>
      </c>
      <c r="F6" s="4">
        <v>4</v>
      </c>
    </row>
    <row r="7" spans="1:6" x14ac:dyDescent="0.25">
      <c r="A7">
        <v>2</v>
      </c>
      <c r="B7" s="4">
        <v>2</v>
      </c>
      <c r="C7" s="4">
        <v>1</v>
      </c>
      <c r="D7" s="95"/>
      <c r="E7" s="4">
        <v>5</v>
      </c>
      <c r="F7" s="4">
        <v>5</v>
      </c>
    </row>
    <row r="8" spans="1:6" x14ac:dyDescent="0.25">
      <c r="A8">
        <v>3</v>
      </c>
      <c r="B8" s="4">
        <v>4</v>
      </c>
      <c r="C8" s="4">
        <v>4.5</v>
      </c>
      <c r="D8" s="95"/>
      <c r="E8" s="4">
        <v>6</v>
      </c>
      <c r="F8" s="4">
        <v>6</v>
      </c>
    </row>
    <row r="9" spans="1:6" x14ac:dyDescent="0.25">
      <c r="A9">
        <v>4</v>
      </c>
      <c r="B9" s="4">
        <v>5</v>
      </c>
      <c r="C9" s="4">
        <v>4.5</v>
      </c>
      <c r="D9" s="95"/>
      <c r="E9" s="4">
        <v>7</v>
      </c>
      <c r="F9" s="4">
        <v>7</v>
      </c>
    </row>
    <row r="10" spans="1:6" x14ac:dyDescent="0.25">
      <c r="A10" s="2" t="s">
        <v>42</v>
      </c>
      <c r="B10" s="4">
        <v>1</v>
      </c>
      <c r="C10" s="4">
        <v>1</v>
      </c>
      <c r="D10" s="95" t="s">
        <v>32</v>
      </c>
      <c r="E10" s="4">
        <v>8</v>
      </c>
      <c r="F10" s="4">
        <v>8</v>
      </c>
    </row>
    <row r="11" spans="1:6" x14ac:dyDescent="0.25">
      <c r="A11" s="2" t="s">
        <v>43</v>
      </c>
      <c r="B11" s="4">
        <v>7</v>
      </c>
      <c r="C11" s="4">
        <v>6.5</v>
      </c>
      <c r="D11" s="96"/>
    </row>
    <row r="12" spans="1:6" x14ac:dyDescent="0.25">
      <c r="A12" s="2" t="s">
        <v>44</v>
      </c>
      <c r="B12" s="4">
        <v>2</v>
      </c>
      <c r="C12" s="4">
        <v>3</v>
      </c>
      <c r="D12" s="96"/>
    </row>
    <row r="13" spans="1:6" x14ac:dyDescent="0.25">
      <c r="A13" s="2" t="s">
        <v>45</v>
      </c>
      <c r="B13" s="4">
        <v>3</v>
      </c>
      <c r="C13" s="4">
        <v>4</v>
      </c>
      <c r="D13" s="96"/>
    </row>
    <row r="14" spans="1:6" x14ac:dyDescent="0.25">
      <c r="A14">
        <v>1</v>
      </c>
      <c r="B14" s="4">
        <v>5</v>
      </c>
      <c r="C14" s="4">
        <v>2</v>
      </c>
      <c r="D14" s="96"/>
    </row>
    <row r="15" spans="1:6" x14ac:dyDescent="0.25">
      <c r="A15">
        <v>2</v>
      </c>
      <c r="B15" s="4">
        <v>4</v>
      </c>
      <c r="C15" s="4">
        <v>6.5</v>
      </c>
      <c r="D15" s="96"/>
    </row>
    <row r="16" spans="1:6" x14ac:dyDescent="0.25">
      <c r="A16">
        <v>3</v>
      </c>
      <c r="B16" s="4">
        <v>6</v>
      </c>
      <c r="C16" s="4">
        <v>6.5</v>
      </c>
      <c r="D16" s="96"/>
    </row>
    <row r="17" spans="1:4" x14ac:dyDescent="0.25">
      <c r="A17">
        <v>4</v>
      </c>
      <c r="B17" s="4">
        <v>8</v>
      </c>
      <c r="C17" s="4">
        <v>6.5</v>
      </c>
      <c r="D17" s="96"/>
    </row>
    <row r="18" spans="1:4" x14ac:dyDescent="0.25">
      <c r="A18" s="2" t="s">
        <v>46</v>
      </c>
      <c r="B18" s="4">
        <v>1</v>
      </c>
      <c r="C18" s="4">
        <v>1</v>
      </c>
      <c r="D18" s="95" t="s">
        <v>31</v>
      </c>
    </row>
    <row r="19" spans="1:4" x14ac:dyDescent="0.25">
      <c r="A19" s="2" t="s">
        <v>47</v>
      </c>
      <c r="B19" s="4">
        <v>2</v>
      </c>
      <c r="C19" s="4">
        <v>2</v>
      </c>
      <c r="D19" s="96"/>
    </row>
    <row r="20" spans="1:4" x14ac:dyDescent="0.25">
      <c r="A20" s="2" t="s">
        <v>48</v>
      </c>
      <c r="B20" s="4">
        <v>6</v>
      </c>
      <c r="C20" s="4">
        <v>5</v>
      </c>
      <c r="D20" s="96"/>
    </row>
    <row r="21" spans="1:4" x14ac:dyDescent="0.25">
      <c r="A21" s="2" t="s">
        <v>49</v>
      </c>
      <c r="B21" s="4">
        <v>7</v>
      </c>
      <c r="C21" s="4">
        <v>7</v>
      </c>
      <c r="D21" s="96"/>
    </row>
    <row r="22" spans="1:4" x14ac:dyDescent="0.25">
      <c r="A22">
        <v>1</v>
      </c>
      <c r="B22" s="4">
        <v>5</v>
      </c>
      <c r="C22" s="4">
        <v>6</v>
      </c>
      <c r="D22" s="96"/>
    </row>
    <row r="23" spans="1:4" x14ac:dyDescent="0.25">
      <c r="A23">
        <v>2</v>
      </c>
      <c r="B23" s="4">
        <v>8</v>
      </c>
      <c r="C23" s="4">
        <v>8</v>
      </c>
      <c r="D23" s="96"/>
    </row>
    <row r="24" spans="1:4" x14ac:dyDescent="0.25">
      <c r="A24">
        <v>3</v>
      </c>
      <c r="B24" s="4">
        <v>4</v>
      </c>
      <c r="C24" s="4">
        <v>3.5</v>
      </c>
      <c r="D24" s="96"/>
    </row>
    <row r="25" spans="1:4" x14ac:dyDescent="0.25">
      <c r="A25">
        <v>4</v>
      </c>
      <c r="B25" s="4">
        <v>3</v>
      </c>
      <c r="C25" s="4">
        <v>3.5</v>
      </c>
      <c r="D25" s="96"/>
    </row>
    <row r="26" spans="1:4" x14ac:dyDescent="0.25">
      <c r="A26" s="2" t="s">
        <v>50</v>
      </c>
      <c r="B26" s="4">
        <v>1</v>
      </c>
      <c r="C26" s="4">
        <v>1</v>
      </c>
      <c r="D26" s="95" t="s">
        <v>30</v>
      </c>
    </row>
    <row r="27" spans="1:4" x14ac:dyDescent="0.25">
      <c r="A27" s="2" t="s">
        <v>51</v>
      </c>
      <c r="B27" s="4">
        <v>2</v>
      </c>
      <c r="C27" s="4">
        <v>2</v>
      </c>
      <c r="D27" s="96"/>
    </row>
    <row r="28" spans="1:4" x14ac:dyDescent="0.25">
      <c r="A28" s="2" t="s">
        <v>52</v>
      </c>
      <c r="B28" s="4">
        <v>5</v>
      </c>
      <c r="C28" s="4">
        <v>3.5</v>
      </c>
      <c r="D28" s="96"/>
    </row>
    <row r="29" spans="1:4" x14ac:dyDescent="0.25">
      <c r="A29" s="2" t="s">
        <v>53</v>
      </c>
      <c r="B29" s="4">
        <v>7</v>
      </c>
      <c r="C29" s="4">
        <v>5</v>
      </c>
      <c r="D29" s="96"/>
    </row>
    <row r="30" spans="1:4" x14ac:dyDescent="0.25">
      <c r="A30">
        <v>1</v>
      </c>
      <c r="B30" s="4">
        <v>6</v>
      </c>
      <c r="C30" s="4">
        <v>6</v>
      </c>
      <c r="D30" s="96"/>
    </row>
    <row r="31" spans="1:4" x14ac:dyDescent="0.25">
      <c r="A31">
        <v>2</v>
      </c>
      <c r="B31" s="4">
        <v>8</v>
      </c>
      <c r="C31" s="4">
        <v>8</v>
      </c>
      <c r="D31" s="96"/>
    </row>
    <row r="32" spans="1:4" x14ac:dyDescent="0.25">
      <c r="A32">
        <v>3</v>
      </c>
      <c r="B32" s="4">
        <v>4</v>
      </c>
      <c r="C32" s="4">
        <v>7</v>
      </c>
      <c r="D32" s="96"/>
    </row>
    <row r="33" spans="1:4" x14ac:dyDescent="0.25">
      <c r="A33">
        <v>4</v>
      </c>
      <c r="B33" s="4">
        <v>3</v>
      </c>
      <c r="C33" s="4">
        <v>3.5</v>
      </c>
      <c r="D33" s="96"/>
    </row>
  </sheetData>
  <mergeCells count="4">
    <mergeCell ref="D3:D9"/>
    <mergeCell ref="D26:D33"/>
    <mergeCell ref="D18:D25"/>
    <mergeCell ref="D10:D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4072-558B-418A-91D3-9BB5EE1CCBFF}">
  <dimension ref="A2:F33"/>
  <sheetViews>
    <sheetView zoomScale="25" zoomScaleNormal="25" workbookViewId="0">
      <selection activeCell="AF94" sqref="AF94"/>
    </sheetView>
  </sheetViews>
  <sheetFormatPr defaultRowHeight="12.5" x14ac:dyDescent="0.25"/>
  <cols>
    <col min="2" max="2" width="12.6328125" bestFit="1" customWidth="1"/>
    <col min="3" max="3" width="16.36328125" bestFit="1" customWidth="1"/>
    <col min="4" max="4" width="9.81640625" bestFit="1" customWidth="1"/>
  </cols>
  <sheetData>
    <row r="2" spans="1:6" x14ac:dyDescent="0.25">
      <c r="B2" t="s">
        <v>26</v>
      </c>
      <c r="C2" t="s">
        <v>27</v>
      </c>
      <c r="E2" s="4" t="s">
        <v>54</v>
      </c>
      <c r="F2" s="4" t="s">
        <v>55</v>
      </c>
    </row>
    <row r="3" spans="1:6" x14ac:dyDescent="0.25">
      <c r="A3" s="2" t="s">
        <v>39</v>
      </c>
      <c r="B3" s="17">
        <v>1</v>
      </c>
      <c r="C3" s="17">
        <v>1</v>
      </c>
      <c r="D3" s="95" t="s">
        <v>29</v>
      </c>
      <c r="E3" s="17">
        <v>0</v>
      </c>
      <c r="F3" s="17">
        <v>0</v>
      </c>
    </row>
    <row r="4" spans="1:6" x14ac:dyDescent="0.25">
      <c r="A4" s="2" t="s">
        <v>40</v>
      </c>
      <c r="B4" s="17">
        <v>0.8</v>
      </c>
      <c r="C4" s="17">
        <v>0.96</v>
      </c>
      <c r="D4" s="95"/>
      <c r="E4" s="17">
        <v>0.1</v>
      </c>
      <c r="F4" s="17">
        <v>0.1</v>
      </c>
    </row>
    <row r="5" spans="1:6" x14ac:dyDescent="0.25">
      <c r="A5" s="2" t="s">
        <v>41</v>
      </c>
      <c r="B5" s="17">
        <v>0.3</v>
      </c>
      <c r="C5" s="17">
        <v>0.91</v>
      </c>
      <c r="D5" s="95"/>
      <c r="E5" s="17">
        <v>0.2</v>
      </c>
      <c r="F5" s="17">
        <v>0.2</v>
      </c>
    </row>
    <row r="6" spans="1:6" x14ac:dyDescent="0.25">
      <c r="A6" t="s">
        <v>59</v>
      </c>
      <c r="B6" s="17">
        <v>0.9</v>
      </c>
      <c r="C6" s="17">
        <v>0.98</v>
      </c>
      <c r="D6" s="95"/>
      <c r="E6" s="17">
        <v>0.3</v>
      </c>
      <c r="F6" s="17">
        <v>0.3</v>
      </c>
    </row>
    <row r="7" spans="1:6" x14ac:dyDescent="0.25">
      <c r="A7" t="s">
        <v>60</v>
      </c>
      <c r="B7" s="17">
        <v>0.8</v>
      </c>
      <c r="C7" s="17">
        <v>0.9</v>
      </c>
      <c r="D7" s="95"/>
      <c r="E7" s="17">
        <v>0.4</v>
      </c>
      <c r="F7" s="17">
        <v>0.4</v>
      </c>
    </row>
    <row r="8" spans="1:6" x14ac:dyDescent="0.25">
      <c r="A8" t="s">
        <v>61</v>
      </c>
      <c r="B8" s="17">
        <v>0.8</v>
      </c>
      <c r="C8" s="17">
        <v>0.97</v>
      </c>
      <c r="D8" s="95"/>
      <c r="E8" s="17">
        <v>0.5</v>
      </c>
      <c r="F8" s="17">
        <v>0.5</v>
      </c>
    </row>
    <row r="9" spans="1:6" x14ac:dyDescent="0.25">
      <c r="A9" t="s">
        <v>62</v>
      </c>
      <c r="B9" s="17">
        <v>0.9</v>
      </c>
      <c r="C9" s="17">
        <v>0.97</v>
      </c>
      <c r="D9" s="95"/>
      <c r="E9" s="17">
        <v>0.6</v>
      </c>
      <c r="F9" s="17">
        <v>0.6</v>
      </c>
    </row>
    <row r="10" spans="1:6" x14ac:dyDescent="0.25">
      <c r="A10" s="2" t="s">
        <v>42</v>
      </c>
      <c r="B10" s="17">
        <v>0.2</v>
      </c>
      <c r="C10" s="17">
        <v>0</v>
      </c>
      <c r="D10" s="95" t="s">
        <v>32</v>
      </c>
      <c r="E10" s="17">
        <v>0.7</v>
      </c>
      <c r="F10" s="17">
        <v>0.7</v>
      </c>
    </row>
    <row r="11" spans="1:6" x14ac:dyDescent="0.25">
      <c r="A11" s="2" t="s">
        <v>43</v>
      </c>
      <c r="B11" s="17">
        <v>0.9</v>
      </c>
      <c r="C11" s="17">
        <v>1</v>
      </c>
      <c r="D11" s="96"/>
      <c r="E11" s="17">
        <v>0.8</v>
      </c>
      <c r="F11" s="17">
        <v>0.8</v>
      </c>
    </row>
    <row r="12" spans="1:6" x14ac:dyDescent="0.25">
      <c r="A12" s="2" t="s">
        <v>44</v>
      </c>
      <c r="B12" s="17">
        <v>0.4</v>
      </c>
      <c r="C12" s="17">
        <v>0.6</v>
      </c>
      <c r="D12" s="96"/>
      <c r="E12" s="17">
        <v>0.9</v>
      </c>
      <c r="F12" s="17">
        <v>0.9</v>
      </c>
    </row>
    <row r="13" spans="1:6" x14ac:dyDescent="0.25">
      <c r="A13" s="2" t="s">
        <v>45</v>
      </c>
      <c r="B13" s="17">
        <v>0.6</v>
      </c>
      <c r="C13" s="17">
        <v>0.76</v>
      </c>
      <c r="D13" s="96"/>
      <c r="E13" s="17">
        <v>1</v>
      </c>
      <c r="F13" s="17">
        <v>1</v>
      </c>
    </row>
    <row r="14" spans="1:6" x14ac:dyDescent="0.25">
      <c r="A14" t="s">
        <v>59</v>
      </c>
      <c r="B14" s="17">
        <v>0.9</v>
      </c>
      <c r="C14" s="17">
        <v>0.51</v>
      </c>
      <c r="D14" s="96"/>
    </row>
    <row r="15" spans="1:6" x14ac:dyDescent="0.25">
      <c r="A15" t="s">
        <v>60</v>
      </c>
      <c r="B15" s="17">
        <v>0.8</v>
      </c>
      <c r="C15" s="17">
        <v>1</v>
      </c>
      <c r="D15" s="96"/>
    </row>
    <row r="16" spans="1:6" x14ac:dyDescent="0.25">
      <c r="A16" t="s">
        <v>61</v>
      </c>
      <c r="B16" s="17">
        <v>0.9</v>
      </c>
      <c r="C16" s="17">
        <v>1</v>
      </c>
      <c r="D16" s="96"/>
    </row>
    <row r="17" spans="1:4" x14ac:dyDescent="0.25">
      <c r="A17" t="s">
        <v>62</v>
      </c>
      <c r="B17" s="17">
        <v>1</v>
      </c>
      <c r="C17" s="17">
        <v>1</v>
      </c>
      <c r="D17" s="96"/>
    </row>
    <row r="18" spans="1:4" x14ac:dyDescent="0.25">
      <c r="A18" s="2" t="s">
        <v>46</v>
      </c>
      <c r="B18" s="17">
        <v>0.1</v>
      </c>
      <c r="C18" s="17">
        <v>0.05</v>
      </c>
      <c r="D18" s="95" t="s">
        <v>31</v>
      </c>
    </row>
    <row r="19" spans="1:4" x14ac:dyDescent="0.25">
      <c r="A19" s="2" t="s">
        <v>47</v>
      </c>
      <c r="B19" s="17">
        <v>0.3</v>
      </c>
      <c r="C19" s="17">
        <v>0.08</v>
      </c>
      <c r="D19" s="96"/>
    </row>
    <row r="20" spans="1:4" x14ac:dyDescent="0.25">
      <c r="A20" s="2" t="s">
        <v>48</v>
      </c>
      <c r="B20" s="17">
        <v>0.5</v>
      </c>
      <c r="C20" s="17">
        <v>0.25</v>
      </c>
      <c r="D20" s="96"/>
    </row>
    <row r="21" spans="1:4" x14ac:dyDescent="0.25">
      <c r="A21" s="2" t="s">
        <v>49</v>
      </c>
      <c r="B21" s="17">
        <v>0.8</v>
      </c>
      <c r="C21" s="17">
        <v>0.47</v>
      </c>
      <c r="D21" s="96"/>
    </row>
    <row r="22" spans="1:4" x14ac:dyDescent="0.25">
      <c r="A22" t="s">
        <v>59</v>
      </c>
      <c r="B22" s="17">
        <v>0.5</v>
      </c>
      <c r="C22" s="17">
        <v>0.35</v>
      </c>
      <c r="D22" s="96"/>
    </row>
    <row r="23" spans="1:4" x14ac:dyDescent="0.25">
      <c r="A23" t="s">
        <v>60</v>
      </c>
      <c r="B23" s="17">
        <v>0.9</v>
      </c>
      <c r="C23" s="17">
        <v>0.66</v>
      </c>
      <c r="D23" s="96"/>
    </row>
    <row r="24" spans="1:4" x14ac:dyDescent="0.25">
      <c r="A24" t="s">
        <v>61</v>
      </c>
      <c r="B24" s="17">
        <v>0.5</v>
      </c>
      <c r="C24" s="17">
        <v>0.19</v>
      </c>
      <c r="D24" s="96"/>
    </row>
    <row r="25" spans="1:4" x14ac:dyDescent="0.25">
      <c r="A25" t="s">
        <v>62</v>
      </c>
      <c r="B25" s="17">
        <v>0.5</v>
      </c>
      <c r="C25" s="17">
        <v>0.19</v>
      </c>
      <c r="D25" s="96"/>
    </row>
    <row r="26" spans="1:4" x14ac:dyDescent="0.25">
      <c r="A26" s="2" t="s">
        <v>50</v>
      </c>
      <c r="B26" s="17">
        <v>0.1</v>
      </c>
      <c r="C26" s="17">
        <v>0.03</v>
      </c>
      <c r="D26" s="95" t="s">
        <v>30</v>
      </c>
    </row>
    <row r="27" spans="1:4" x14ac:dyDescent="0.25">
      <c r="A27" s="2" t="s">
        <v>51</v>
      </c>
      <c r="B27" s="17">
        <v>0.3</v>
      </c>
      <c r="C27" s="17">
        <v>0.09</v>
      </c>
      <c r="D27" s="96"/>
    </row>
    <row r="28" spans="1:4" x14ac:dyDescent="0.25">
      <c r="A28" s="2" t="s">
        <v>52</v>
      </c>
      <c r="B28" s="17">
        <v>0.4</v>
      </c>
      <c r="C28" s="17">
        <v>0.21</v>
      </c>
      <c r="D28" s="96"/>
    </row>
    <row r="29" spans="1:4" x14ac:dyDescent="0.25">
      <c r="A29" s="2" t="s">
        <v>53</v>
      </c>
      <c r="B29" s="17">
        <v>0.7</v>
      </c>
      <c r="C29" s="17">
        <v>0.22</v>
      </c>
      <c r="D29" s="96"/>
    </row>
    <row r="30" spans="1:4" x14ac:dyDescent="0.25">
      <c r="A30" t="s">
        <v>59</v>
      </c>
      <c r="B30" s="17">
        <v>0.5</v>
      </c>
      <c r="C30" s="17">
        <v>0.28999999999999998</v>
      </c>
      <c r="D30" s="96"/>
    </row>
    <row r="31" spans="1:4" x14ac:dyDescent="0.25">
      <c r="A31" t="s">
        <v>60</v>
      </c>
      <c r="B31" s="17">
        <v>0.8</v>
      </c>
      <c r="C31" s="17">
        <v>0.49</v>
      </c>
      <c r="D31" s="96"/>
    </row>
    <row r="32" spans="1:4" x14ac:dyDescent="0.25">
      <c r="A32" t="s">
        <v>61</v>
      </c>
      <c r="B32" s="17">
        <v>0.4</v>
      </c>
      <c r="C32" s="17">
        <v>0.31</v>
      </c>
      <c r="D32" s="96"/>
    </row>
    <row r="33" spans="1:4" x14ac:dyDescent="0.25">
      <c r="A33" t="s">
        <v>62</v>
      </c>
      <c r="B33" s="17">
        <v>0.3</v>
      </c>
      <c r="C33" s="17">
        <v>0.21</v>
      </c>
      <c r="D33" s="96"/>
    </row>
  </sheetData>
  <mergeCells count="4">
    <mergeCell ref="D3:D9"/>
    <mergeCell ref="D10:D17"/>
    <mergeCell ref="D18:D25"/>
    <mergeCell ref="D26:D3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C8BD-991B-46D9-9DFB-BE43E6D37A44}">
  <dimension ref="A1:AH67"/>
  <sheetViews>
    <sheetView zoomScale="25" zoomScaleNormal="25" workbookViewId="0">
      <selection activeCell="AU89" sqref="AU89"/>
    </sheetView>
  </sheetViews>
  <sheetFormatPr defaultRowHeight="12.5" x14ac:dyDescent="0.25"/>
  <sheetData>
    <row r="1" spans="1:34" x14ac:dyDescent="0.25">
      <c r="A1" t="s">
        <v>64</v>
      </c>
    </row>
    <row r="2" spans="1:34" x14ac:dyDescent="0.25">
      <c r="A2" s="97" t="s">
        <v>63</v>
      </c>
      <c r="B2" s="97"/>
      <c r="C2" s="97"/>
      <c r="D2" s="97"/>
      <c r="E2" s="97"/>
      <c r="F2" s="97"/>
      <c r="G2" s="97"/>
      <c r="I2" s="97" t="s">
        <v>32</v>
      </c>
      <c r="J2" s="97"/>
      <c r="K2" s="97"/>
      <c r="L2" s="97"/>
      <c r="M2" s="97"/>
      <c r="N2" s="97"/>
      <c r="O2" s="97"/>
      <c r="P2" s="97"/>
      <c r="R2" s="97" t="s">
        <v>31</v>
      </c>
      <c r="S2" s="97"/>
      <c r="T2" s="97"/>
      <c r="U2" s="97"/>
      <c r="V2" s="97"/>
      <c r="W2" s="97"/>
      <c r="X2" s="97"/>
      <c r="Y2" s="97"/>
      <c r="AA2" s="97" t="s">
        <v>30</v>
      </c>
      <c r="AB2" s="97"/>
      <c r="AC2" s="97"/>
      <c r="AD2" s="97"/>
      <c r="AE2" s="97"/>
      <c r="AF2" s="97"/>
      <c r="AG2" s="97"/>
      <c r="AH2" s="97"/>
    </row>
    <row r="3" spans="1:34" x14ac:dyDescent="0.25">
      <c r="A3" s="21">
        <v>1</v>
      </c>
      <c r="B3" s="21">
        <v>0.96</v>
      </c>
      <c r="C3" s="21">
        <v>0.91</v>
      </c>
      <c r="D3" s="21">
        <v>0.98</v>
      </c>
      <c r="E3" s="21">
        <v>0.9</v>
      </c>
      <c r="F3" s="21">
        <v>0.97</v>
      </c>
      <c r="G3" s="21">
        <v>0.97</v>
      </c>
      <c r="I3" s="16">
        <v>0</v>
      </c>
      <c r="J3" s="16">
        <v>1</v>
      </c>
      <c r="K3" s="16">
        <v>0.6</v>
      </c>
      <c r="L3" s="16">
        <v>0.76</v>
      </c>
      <c r="M3" s="16">
        <v>0.51</v>
      </c>
      <c r="N3" s="16">
        <v>1</v>
      </c>
      <c r="O3" s="16">
        <v>1</v>
      </c>
      <c r="P3" s="16">
        <v>1</v>
      </c>
      <c r="R3" s="16">
        <v>0.05</v>
      </c>
      <c r="S3" s="16">
        <v>0.08</v>
      </c>
      <c r="T3" s="16">
        <v>0.25</v>
      </c>
      <c r="U3" s="16">
        <v>0.47</v>
      </c>
      <c r="V3" s="16">
        <v>0.35</v>
      </c>
      <c r="W3" s="16">
        <v>0.66</v>
      </c>
      <c r="X3" s="16">
        <v>0.19</v>
      </c>
      <c r="Y3" s="16">
        <v>0.19</v>
      </c>
      <c r="AA3" s="16">
        <v>0.03</v>
      </c>
      <c r="AB3" s="16">
        <v>0.09</v>
      </c>
      <c r="AC3" s="16">
        <v>0.21</v>
      </c>
      <c r="AD3" s="16">
        <v>0.22</v>
      </c>
      <c r="AE3" s="16">
        <v>0.28999999999999998</v>
      </c>
      <c r="AF3" s="16">
        <v>0.49</v>
      </c>
      <c r="AG3" s="16">
        <v>0.31</v>
      </c>
      <c r="AH3" s="16">
        <v>0.21</v>
      </c>
    </row>
    <row r="5" spans="1:34" x14ac:dyDescent="0.25">
      <c r="A5" s="26">
        <v>0</v>
      </c>
      <c r="B5" s="24">
        <v>4.0000000000000036E-2</v>
      </c>
      <c r="C5" s="24">
        <v>0.51</v>
      </c>
      <c r="D5" s="24">
        <v>2.0000000000000018E-2</v>
      </c>
      <c r="E5" s="24">
        <v>0</v>
      </c>
      <c r="F5" s="24">
        <v>3.0000000000000027E-2</v>
      </c>
      <c r="G5" s="24">
        <v>3.0000000000000027E-2</v>
      </c>
      <c r="I5">
        <v>0.1</v>
      </c>
      <c r="J5">
        <v>0</v>
      </c>
      <c r="K5">
        <v>0.20000000000000007</v>
      </c>
      <c r="L5">
        <v>0.14000000000000001</v>
      </c>
      <c r="M5">
        <v>0.39</v>
      </c>
      <c r="N5">
        <v>9.9999999999999978E-2</v>
      </c>
      <c r="O5">
        <v>0</v>
      </c>
      <c r="P5">
        <v>0</v>
      </c>
      <c r="R5">
        <v>0.05</v>
      </c>
      <c r="S5">
        <v>2.0000000000000004E-2</v>
      </c>
      <c r="T5">
        <v>0.15000000000000002</v>
      </c>
      <c r="U5">
        <v>0.53</v>
      </c>
      <c r="V5">
        <v>5.0000000000000044E-2</v>
      </c>
      <c r="W5">
        <v>0.33999999999999997</v>
      </c>
      <c r="X5">
        <v>0.31</v>
      </c>
      <c r="Y5">
        <v>0.21000000000000002</v>
      </c>
      <c r="AA5" s="34">
        <v>0.03</v>
      </c>
      <c r="AB5" s="34">
        <v>0.11000000000000001</v>
      </c>
      <c r="AC5" s="34">
        <v>0.19000000000000003</v>
      </c>
      <c r="AD5" s="34">
        <v>0.38</v>
      </c>
      <c r="AE5" s="34">
        <v>0.11000000000000004</v>
      </c>
      <c r="AF5" s="34">
        <v>0.31000000000000005</v>
      </c>
      <c r="AG5" s="34">
        <v>9.0000000000000024E-2</v>
      </c>
      <c r="AH5" s="34">
        <v>9.9999999999999811E-3</v>
      </c>
    </row>
    <row r="6" spans="1:34" x14ac:dyDescent="0.25">
      <c r="A6" s="26">
        <v>0</v>
      </c>
      <c r="B6" s="24">
        <v>0.26</v>
      </c>
      <c r="C6" s="24">
        <v>0.91</v>
      </c>
      <c r="D6" s="24">
        <v>2.0000000000000018E-2</v>
      </c>
      <c r="E6" s="24">
        <v>0</v>
      </c>
      <c r="F6" s="24">
        <v>6.9999999999999951E-2</v>
      </c>
      <c r="G6" s="24">
        <v>6.9999999999999951E-2</v>
      </c>
      <c r="I6">
        <v>0</v>
      </c>
      <c r="J6">
        <v>0</v>
      </c>
      <c r="K6">
        <v>0</v>
      </c>
      <c r="L6">
        <v>0.56000000000000005</v>
      </c>
      <c r="M6">
        <v>0.49</v>
      </c>
      <c r="N6">
        <v>0.4</v>
      </c>
      <c r="O6">
        <v>0</v>
      </c>
      <c r="P6">
        <v>0</v>
      </c>
      <c r="R6">
        <v>0.05</v>
      </c>
      <c r="S6">
        <v>0.12000000000000001</v>
      </c>
      <c r="T6">
        <v>0.25</v>
      </c>
      <c r="U6">
        <v>0.53</v>
      </c>
      <c r="V6">
        <v>0.35</v>
      </c>
      <c r="W6">
        <v>0.33999999999999997</v>
      </c>
      <c r="X6">
        <v>0.31</v>
      </c>
      <c r="Y6">
        <v>1.0000000000000009E-2</v>
      </c>
      <c r="AA6" s="34">
        <v>0.03</v>
      </c>
      <c r="AB6" s="34">
        <v>0.21</v>
      </c>
      <c r="AC6" s="34">
        <v>0.29000000000000004</v>
      </c>
      <c r="AD6" s="34">
        <v>0.78</v>
      </c>
      <c r="AE6" s="34">
        <v>0.51</v>
      </c>
      <c r="AF6" s="34">
        <v>0.41000000000000003</v>
      </c>
      <c r="AG6" s="34">
        <v>0.19</v>
      </c>
      <c r="AH6" s="34">
        <v>9.9999999999999811E-3</v>
      </c>
    </row>
    <row r="7" spans="1:34" x14ac:dyDescent="0.25">
      <c r="A7" s="26">
        <v>0</v>
      </c>
      <c r="B7" s="24">
        <v>0.45999999999999996</v>
      </c>
      <c r="C7" s="24">
        <v>0.91</v>
      </c>
      <c r="D7" s="24">
        <v>2.0000000000000018E-2</v>
      </c>
      <c r="E7" s="24">
        <v>0.8</v>
      </c>
      <c r="F7" s="24">
        <v>3.0000000000000027E-2</v>
      </c>
      <c r="G7" s="24">
        <v>3.0000000000000027E-2</v>
      </c>
      <c r="I7">
        <v>0</v>
      </c>
      <c r="J7">
        <v>0</v>
      </c>
      <c r="K7">
        <v>0.39999999999999997</v>
      </c>
      <c r="L7">
        <v>0.76</v>
      </c>
      <c r="M7">
        <v>0.49</v>
      </c>
      <c r="N7">
        <v>0.5</v>
      </c>
      <c r="O7">
        <v>0</v>
      </c>
      <c r="P7">
        <v>0</v>
      </c>
      <c r="R7">
        <v>0.05</v>
      </c>
      <c r="S7">
        <v>0.12000000000000001</v>
      </c>
      <c r="T7">
        <v>0.55000000000000004</v>
      </c>
      <c r="U7">
        <v>0.53</v>
      </c>
      <c r="V7">
        <v>0.25</v>
      </c>
      <c r="W7">
        <v>0.33999999999999997</v>
      </c>
      <c r="X7">
        <v>0.10999999999999999</v>
      </c>
      <c r="Y7">
        <v>1.0000000000000009E-2</v>
      </c>
      <c r="AA7" s="34">
        <v>7.0000000000000007E-2</v>
      </c>
      <c r="AB7" s="34">
        <v>0.31000000000000005</v>
      </c>
      <c r="AC7" s="34">
        <v>0.49</v>
      </c>
      <c r="AD7" s="34">
        <v>0.78</v>
      </c>
      <c r="AE7" s="34">
        <v>0.51</v>
      </c>
      <c r="AF7" s="34">
        <v>0.51</v>
      </c>
      <c r="AG7" s="34">
        <v>0.28999999999999998</v>
      </c>
      <c r="AH7" s="34">
        <v>0.21</v>
      </c>
    </row>
    <row r="8" spans="1:34" x14ac:dyDescent="0.25">
      <c r="A8" s="27">
        <v>0.5</v>
      </c>
      <c r="B8" s="25">
        <v>0.26</v>
      </c>
      <c r="C8" s="25">
        <v>0.71</v>
      </c>
      <c r="D8" s="24">
        <v>0.38</v>
      </c>
      <c r="E8" s="24">
        <v>9.9999999999999978E-2</v>
      </c>
      <c r="F8" s="24">
        <v>0.37</v>
      </c>
      <c r="G8" s="24">
        <v>0.66999999999999993</v>
      </c>
      <c r="I8">
        <v>0</v>
      </c>
      <c r="J8">
        <v>0.8</v>
      </c>
      <c r="K8">
        <v>0.19999999999999996</v>
      </c>
      <c r="L8">
        <v>0.26</v>
      </c>
      <c r="M8">
        <v>0.21000000000000002</v>
      </c>
      <c r="N8">
        <v>0.19999999999999996</v>
      </c>
      <c r="O8">
        <v>0.7</v>
      </c>
      <c r="P8">
        <v>1</v>
      </c>
      <c r="R8">
        <v>0.05</v>
      </c>
      <c r="S8">
        <v>0.21999999999999997</v>
      </c>
      <c r="T8">
        <v>0.35</v>
      </c>
      <c r="U8">
        <v>0.43000000000000005</v>
      </c>
      <c r="V8">
        <v>0.14999999999999997</v>
      </c>
      <c r="W8">
        <v>0.24</v>
      </c>
      <c r="X8">
        <v>0.41</v>
      </c>
      <c r="Y8">
        <v>0.31</v>
      </c>
      <c r="AA8" s="34">
        <v>7.0000000000000007E-2</v>
      </c>
      <c r="AB8" s="34">
        <v>1.0000000000000009E-2</v>
      </c>
      <c r="AC8" s="34">
        <v>0.09</v>
      </c>
      <c r="AD8" s="34">
        <v>7.9999999999999988E-2</v>
      </c>
      <c r="AE8" s="34">
        <v>1.0000000000000009E-2</v>
      </c>
      <c r="AF8" s="34">
        <v>0.10999999999999999</v>
      </c>
      <c r="AG8" s="34">
        <v>0.38999999999999996</v>
      </c>
      <c r="AH8" s="34">
        <v>0.29000000000000004</v>
      </c>
    </row>
    <row r="9" spans="1:34" x14ac:dyDescent="0.25">
      <c r="A9" s="26">
        <v>0</v>
      </c>
      <c r="B9" s="24">
        <v>0.45999999999999996</v>
      </c>
      <c r="C9" s="24">
        <v>0.6100000000000001</v>
      </c>
      <c r="D9" s="24">
        <v>7.999999999999996E-2</v>
      </c>
      <c r="E9" s="24">
        <v>9.9999999999999978E-2</v>
      </c>
      <c r="F9" s="24">
        <v>3.0000000000000027E-2</v>
      </c>
      <c r="G9" s="24">
        <v>3.0000000000000027E-2</v>
      </c>
      <c r="I9">
        <v>0.1</v>
      </c>
      <c r="J9">
        <v>0</v>
      </c>
      <c r="K9">
        <v>0.19999999999999996</v>
      </c>
      <c r="L9">
        <v>0.16000000000000003</v>
      </c>
      <c r="M9">
        <v>0.39</v>
      </c>
      <c r="N9">
        <v>9.9999999999999978E-2</v>
      </c>
      <c r="O9">
        <v>0</v>
      </c>
      <c r="P9">
        <v>0</v>
      </c>
      <c r="R9">
        <v>0.05</v>
      </c>
      <c r="S9">
        <v>0.12000000000000001</v>
      </c>
      <c r="T9">
        <v>0.35</v>
      </c>
      <c r="U9">
        <v>0.33000000000000007</v>
      </c>
      <c r="V9">
        <v>0.45000000000000007</v>
      </c>
      <c r="W9">
        <v>0.24</v>
      </c>
      <c r="X9">
        <v>0.21000000000000002</v>
      </c>
      <c r="Y9">
        <v>0.31</v>
      </c>
      <c r="AA9" s="34">
        <v>7.0000000000000007E-2</v>
      </c>
      <c r="AB9" s="34">
        <v>0.21</v>
      </c>
      <c r="AC9" s="34">
        <v>0.19000000000000003</v>
      </c>
      <c r="AD9" s="34">
        <v>0.38</v>
      </c>
      <c r="AE9" s="34">
        <v>0.51</v>
      </c>
      <c r="AF9" s="34">
        <v>0.41000000000000003</v>
      </c>
      <c r="AG9" s="34">
        <v>0.28999999999999998</v>
      </c>
      <c r="AH9" s="34">
        <v>0.49</v>
      </c>
    </row>
    <row r="10" spans="1:34" x14ac:dyDescent="0.25">
      <c r="A10" s="26">
        <v>9.9999999999999978E-2</v>
      </c>
      <c r="B10" s="24">
        <v>0.15999999999999992</v>
      </c>
      <c r="C10" s="24">
        <v>0.6100000000000001</v>
      </c>
      <c r="D10" s="24">
        <v>7.999999999999996E-2</v>
      </c>
      <c r="E10" s="24">
        <v>9.9999999999999978E-2</v>
      </c>
      <c r="F10" s="24">
        <v>3.0000000000000027E-2</v>
      </c>
      <c r="G10" s="24">
        <v>3.0000000000000027E-2</v>
      </c>
      <c r="I10">
        <v>0.7</v>
      </c>
      <c r="J10">
        <v>9.9999999999999978E-2</v>
      </c>
      <c r="K10">
        <v>0.3</v>
      </c>
      <c r="L10">
        <v>0.26</v>
      </c>
      <c r="M10">
        <v>0.29000000000000004</v>
      </c>
      <c r="N10">
        <v>0.19999999999999996</v>
      </c>
      <c r="O10">
        <v>9.9999999999999978E-2</v>
      </c>
      <c r="P10">
        <v>9.9999999999999978E-2</v>
      </c>
      <c r="R10">
        <v>0.85</v>
      </c>
      <c r="S10">
        <v>0.72000000000000008</v>
      </c>
      <c r="T10">
        <v>0.44999999999999996</v>
      </c>
      <c r="U10">
        <v>0.33000000000000007</v>
      </c>
      <c r="V10">
        <v>0.55000000000000004</v>
      </c>
      <c r="W10">
        <v>0.24</v>
      </c>
      <c r="X10">
        <v>0.71</v>
      </c>
      <c r="Y10">
        <v>0.71</v>
      </c>
      <c r="AA10" s="34">
        <v>0.03</v>
      </c>
      <c r="AB10" s="34">
        <v>1.0000000000000009E-2</v>
      </c>
      <c r="AC10" s="34">
        <v>9.9999999999999811E-3</v>
      </c>
      <c r="AD10" s="34">
        <v>0.48</v>
      </c>
      <c r="AE10" s="34">
        <v>0.51</v>
      </c>
      <c r="AF10" s="34">
        <v>0.51</v>
      </c>
      <c r="AG10" s="34">
        <v>0.38999999999999996</v>
      </c>
      <c r="AH10" s="34">
        <v>0.49</v>
      </c>
    </row>
    <row r="11" spans="1:34" x14ac:dyDescent="0.25">
      <c r="A11" s="26">
        <v>0</v>
      </c>
      <c r="B11" s="24">
        <v>0.15999999999999992</v>
      </c>
      <c r="C11" s="24">
        <v>0.41000000000000003</v>
      </c>
      <c r="D11" s="24">
        <v>7.999999999999996E-2</v>
      </c>
      <c r="E11" s="24">
        <v>0.20000000000000007</v>
      </c>
      <c r="F11" s="24">
        <v>0.16999999999999993</v>
      </c>
      <c r="G11" s="24">
        <v>0.16999999999999993</v>
      </c>
      <c r="I11">
        <v>0.1</v>
      </c>
      <c r="J11">
        <v>9.9999999999999978E-2</v>
      </c>
      <c r="K11">
        <v>0.19999999999999996</v>
      </c>
      <c r="L11">
        <v>0.26</v>
      </c>
      <c r="M11">
        <v>0.29000000000000004</v>
      </c>
      <c r="N11">
        <v>0.19999999999999996</v>
      </c>
      <c r="O11">
        <v>0.19999999999999996</v>
      </c>
      <c r="P11">
        <v>9.9999999999999978E-2</v>
      </c>
      <c r="R11">
        <v>0.25</v>
      </c>
      <c r="S11">
        <v>0.32</v>
      </c>
      <c r="T11">
        <v>0.35</v>
      </c>
      <c r="U11">
        <v>0.22999999999999998</v>
      </c>
      <c r="V11">
        <v>0.15000000000000002</v>
      </c>
      <c r="W11">
        <v>6.0000000000000053E-2</v>
      </c>
      <c r="X11">
        <v>0.31</v>
      </c>
      <c r="Y11">
        <v>0.31</v>
      </c>
      <c r="AA11" s="34">
        <v>0.27</v>
      </c>
      <c r="AB11" s="34">
        <v>0.41000000000000003</v>
      </c>
      <c r="AC11" s="34">
        <v>0.39</v>
      </c>
      <c r="AD11" s="34">
        <v>0.48</v>
      </c>
      <c r="AE11" s="34">
        <v>0.21000000000000002</v>
      </c>
      <c r="AF11" s="34">
        <v>0.10999999999999999</v>
      </c>
      <c r="AG11" s="34">
        <v>0.19</v>
      </c>
      <c r="AH11" s="34">
        <v>0.19000000000000003</v>
      </c>
    </row>
    <row r="12" spans="1:34" x14ac:dyDescent="0.25">
      <c r="A12" s="26">
        <v>0</v>
      </c>
      <c r="B12" s="24">
        <v>4.0000000000000036E-2</v>
      </c>
      <c r="C12" s="24">
        <v>0.91</v>
      </c>
      <c r="D12" s="24">
        <v>2.0000000000000018E-2</v>
      </c>
      <c r="E12" s="24">
        <v>9.9999999999999978E-2</v>
      </c>
      <c r="F12" s="24">
        <v>3.0000000000000027E-2</v>
      </c>
      <c r="G12" s="24">
        <v>3.0000000000000027E-2</v>
      </c>
      <c r="I12">
        <v>0.7</v>
      </c>
      <c r="J12">
        <v>0.4</v>
      </c>
      <c r="K12">
        <v>0.3</v>
      </c>
      <c r="L12">
        <v>0.76</v>
      </c>
      <c r="M12">
        <v>0.39</v>
      </c>
      <c r="N12">
        <v>9.9999999999999978E-2</v>
      </c>
      <c r="O12">
        <v>9.9999999999999978E-2</v>
      </c>
      <c r="P12">
        <v>0</v>
      </c>
      <c r="R12">
        <v>0.05</v>
      </c>
      <c r="S12">
        <v>2.0000000000000004E-2</v>
      </c>
      <c r="T12">
        <v>4.9999999999999989E-2</v>
      </c>
      <c r="U12">
        <v>3.0000000000000027E-2</v>
      </c>
      <c r="V12">
        <v>0.24999999999999997</v>
      </c>
      <c r="W12">
        <v>0.24</v>
      </c>
      <c r="X12">
        <v>1.0000000000000009E-2</v>
      </c>
      <c r="Y12">
        <v>0.09</v>
      </c>
      <c r="AA12" s="34">
        <v>0.03</v>
      </c>
      <c r="AB12" s="34">
        <v>1.0000000000000009E-2</v>
      </c>
      <c r="AC12" s="34">
        <v>9.9999999999999811E-3</v>
      </c>
      <c r="AD12" s="34">
        <v>1.999999999999999E-2</v>
      </c>
      <c r="AE12" s="34">
        <v>1.0000000000000009E-2</v>
      </c>
      <c r="AF12" s="34">
        <v>0.10999999999999999</v>
      </c>
      <c r="AG12" s="34">
        <v>0.31</v>
      </c>
      <c r="AH12" s="34">
        <v>0.10999999999999999</v>
      </c>
    </row>
    <row r="13" spans="1:34" x14ac:dyDescent="0.25">
      <c r="A13" s="26">
        <v>0</v>
      </c>
      <c r="B13" s="24">
        <v>0.15999999999999992</v>
      </c>
      <c r="C13" s="24">
        <v>0.71</v>
      </c>
      <c r="D13" s="24">
        <v>2.0000000000000018E-2</v>
      </c>
      <c r="E13" s="24">
        <v>0.4</v>
      </c>
      <c r="F13" s="24">
        <v>0.27</v>
      </c>
      <c r="G13" s="24">
        <v>0.27</v>
      </c>
      <c r="I13">
        <v>0.1</v>
      </c>
      <c r="J13">
        <v>0</v>
      </c>
      <c r="K13">
        <v>0.19999999999999996</v>
      </c>
      <c r="L13">
        <v>0.16000000000000003</v>
      </c>
      <c r="M13">
        <v>0.29000000000000004</v>
      </c>
      <c r="N13">
        <v>0.30000000000000004</v>
      </c>
      <c r="O13">
        <v>0</v>
      </c>
      <c r="P13">
        <v>0</v>
      </c>
      <c r="R13">
        <v>0.05</v>
      </c>
      <c r="S13">
        <v>0.12000000000000001</v>
      </c>
      <c r="T13">
        <v>4.9999999999999989E-2</v>
      </c>
      <c r="U13">
        <v>0.13</v>
      </c>
      <c r="V13">
        <v>0.45000000000000007</v>
      </c>
      <c r="W13">
        <v>0.24</v>
      </c>
      <c r="X13">
        <v>0.31</v>
      </c>
      <c r="Y13">
        <v>0.21000000000000002</v>
      </c>
      <c r="AA13" s="34">
        <v>0.03</v>
      </c>
      <c r="AB13" s="34">
        <v>0.11000000000000001</v>
      </c>
      <c r="AC13" s="34">
        <v>0.09</v>
      </c>
      <c r="AD13" s="34">
        <v>0.28000000000000003</v>
      </c>
      <c r="AE13" s="34">
        <v>0.31</v>
      </c>
      <c r="AF13" s="34">
        <v>0.31000000000000005</v>
      </c>
      <c r="AG13" s="34">
        <v>0.19</v>
      </c>
      <c r="AH13" s="34">
        <v>0.09</v>
      </c>
    </row>
    <row r="14" spans="1:34" x14ac:dyDescent="0.25">
      <c r="A14" s="26">
        <v>0</v>
      </c>
      <c r="B14" s="24">
        <v>0.45999999999999996</v>
      </c>
      <c r="C14" s="24">
        <v>0.91</v>
      </c>
      <c r="D14" s="24">
        <v>7.999999999999996E-2</v>
      </c>
      <c r="E14" s="24">
        <v>0</v>
      </c>
      <c r="F14" s="24">
        <v>3.0000000000000027E-2</v>
      </c>
      <c r="G14" s="24">
        <v>3.0000000000000027E-2</v>
      </c>
      <c r="I14">
        <v>0</v>
      </c>
      <c r="J14">
        <v>9.9999999999999978E-2</v>
      </c>
      <c r="K14">
        <v>0.19999999999999996</v>
      </c>
      <c r="L14">
        <v>0.16000000000000003</v>
      </c>
      <c r="M14">
        <v>0.39</v>
      </c>
      <c r="N14">
        <v>9.9999999999999978E-2</v>
      </c>
      <c r="O14">
        <v>0</v>
      </c>
      <c r="P14">
        <v>0</v>
      </c>
      <c r="R14">
        <v>0.25</v>
      </c>
      <c r="S14">
        <v>0.52</v>
      </c>
      <c r="T14">
        <v>0.55000000000000004</v>
      </c>
      <c r="U14">
        <v>0.53</v>
      </c>
      <c r="V14">
        <v>0.45000000000000007</v>
      </c>
      <c r="W14">
        <v>0.33999999999999997</v>
      </c>
      <c r="X14">
        <v>0.6100000000000001</v>
      </c>
      <c r="Y14">
        <v>0.41</v>
      </c>
      <c r="AA14" s="34">
        <v>0.03</v>
      </c>
      <c r="AB14" s="34">
        <v>0.11000000000000001</v>
      </c>
      <c r="AC14" s="34">
        <v>0.29000000000000004</v>
      </c>
      <c r="AD14" s="34">
        <v>0.38</v>
      </c>
      <c r="AE14" s="34">
        <v>1.0000000000000009E-2</v>
      </c>
      <c r="AF14" s="34">
        <v>0.41000000000000003</v>
      </c>
      <c r="AG14" s="34">
        <v>0.28999999999999998</v>
      </c>
      <c r="AH14" s="34">
        <v>0.19000000000000003</v>
      </c>
    </row>
    <row r="15" spans="1:34" x14ac:dyDescent="0.25">
      <c r="A15" s="27">
        <v>0.5</v>
      </c>
      <c r="B15" s="25">
        <v>4.0000000000000036E-2</v>
      </c>
      <c r="C15" s="25">
        <v>0.71</v>
      </c>
      <c r="D15" s="24">
        <v>0.38</v>
      </c>
      <c r="E15" s="24">
        <v>0</v>
      </c>
      <c r="F15" s="24">
        <v>0.56999999999999995</v>
      </c>
      <c r="G15" s="24">
        <v>0.47</v>
      </c>
      <c r="I15">
        <v>0.2</v>
      </c>
      <c r="J15">
        <v>0.6</v>
      </c>
      <c r="K15">
        <v>9.9999999999999978E-2</v>
      </c>
      <c r="L15">
        <v>4.0000000000000036E-2</v>
      </c>
      <c r="M15">
        <v>0.29000000000000004</v>
      </c>
      <c r="N15">
        <v>0</v>
      </c>
      <c r="O15">
        <v>0.5</v>
      </c>
      <c r="P15">
        <v>0.7</v>
      </c>
      <c r="R15">
        <v>0.05</v>
      </c>
      <c r="S15">
        <v>0.32</v>
      </c>
      <c r="T15">
        <v>0.44999999999999996</v>
      </c>
      <c r="U15">
        <v>0.43000000000000005</v>
      </c>
      <c r="V15">
        <v>0.35</v>
      </c>
      <c r="W15">
        <v>0.33999999999999997</v>
      </c>
      <c r="X15">
        <v>0.31</v>
      </c>
      <c r="Y15">
        <v>1.0000000000000009E-2</v>
      </c>
      <c r="AA15" s="34">
        <v>0.17</v>
      </c>
      <c r="AB15" s="34">
        <v>0.31000000000000005</v>
      </c>
      <c r="AC15" s="34">
        <v>0.49</v>
      </c>
      <c r="AD15" s="34">
        <v>0.68</v>
      </c>
      <c r="AE15" s="34">
        <v>0.41</v>
      </c>
      <c r="AF15" s="34">
        <v>0.41000000000000003</v>
      </c>
      <c r="AG15" s="34">
        <v>9.0000000000000024E-2</v>
      </c>
      <c r="AH15" s="34">
        <v>9.9999999999999811E-3</v>
      </c>
    </row>
    <row r="16" spans="1:34" x14ac:dyDescent="0.25">
      <c r="A16" s="26">
        <v>0</v>
      </c>
      <c r="B16" s="24">
        <v>0.15999999999999992</v>
      </c>
      <c r="C16" s="24">
        <v>0.41000000000000003</v>
      </c>
      <c r="D16" s="24">
        <v>2.0000000000000018E-2</v>
      </c>
      <c r="E16" s="24">
        <v>9.9999999999999978E-2</v>
      </c>
      <c r="F16" s="24">
        <v>3.0000000000000027E-2</v>
      </c>
      <c r="G16" s="24">
        <v>3.0000000000000027E-2</v>
      </c>
      <c r="I16">
        <v>1</v>
      </c>
      <c r="J16">
        <v>0.19999999999999996</v>
      </c>
      <c r="K16">
        <v>9.9999999999999978E-2</v>
      </c>
      <c r="L16">
        <v>6.0000000000000053E-2</v>
      </c>
      <c r="M16">
        <v>0.49</v>
      </c>
      <c r="N16">
        <v>0</v>
      </c>
      <c r="O16">
        <v>0</v>
      </c>
      <c r="P16">
        <v>0</v>
      </c>
      <c r="R16">
        <v>0.54999999999999993</v>
      </c>
      <c r="S16">
        <v>0.62</v>
      </c>
      <c r="T16">
        <v>0.55000000000000004</v>
      </c>
      <c r="U16">
        <v>0.53</v>
      </c>
      <c r="V16">
        <v>0.55000000000000004</v>
      </c>
      <c r="W16">
        <v>0.33999999999999997</v>
      </c>
      <c r="X16">
        <v>0.6100000000000001</v>
      </c>
      <c r="Y16">
        <v>0.51</v>
      </c>
      <c r="AA16" s="34">
        <v>0.17</v>
      </c>
      <c r="AB16" s="34">
        <v>0.21</v>
      </c>
      <c r="AC16" s="34">
        <v>0.29000000000000004</v>
      </c>
      <c r="AD16" s="34">
        <v>0.58000000000000007</v>
      </c>
      <c r="AE16" s="34">
        <v>0.6100000000000001</v>
      </c>
      <c r="AF16" s="34">
        <v>0.51</v>
      </c>
      <c r="AG16" s="34">
        <v>0.49000000000000005</v>
      </c>
      <c r="AH16" s="34">
        <v>0.49</v>
      </c>
    </row>
    <row r="17" spans="1:34" x14ac:dyDescent="0.25">
      <c r="A17" s="26">
        <v>0</v>
      </c>
      <c r="B17" s="24">
        <v>5.9999999999999942E-2</v>
      </c>
      <c r="C17" s="24">
        <v>0.71</v>
      </c>
      <c r="D17" s="24">
        <v>7.999999999999996E-2</v>
      </c>
      <c r="E17" s="24">
        <v>0.30000000000000004</v>
      </c>
      <c r="F17" s="24">
        <v>0.27</v>
      </c>
      <c r="G17" s="24">
        <v>0.27</v>
      </c>
      <c r="I17">
        <v>0.1</v>
      </c>
      <c r="J17">
        <v>0</v>
      </c>
      <c r="K17">
        <v>0.39999999999999997</v>
      </c>
      <c r="L17">
        <v>0.26</v>
      </c>
      <c r="M17">
        <v>0.49</v>
      </c>
      <c r="N17">
        <v>9.9999999999999978E-2</v>
      </c>
      <c r="O17">
        <v>9.9999999999999978E-2</v>
      </c>
      <c r="P17">
        <v>1</v>
      </c>
      <c r="R17">
        <v>0.95</v>
      </c>
      <c r="S17">
        <v>0.82000000000000006</v>
      </c>
      <c r="T17">
        <v>0.25</v>
      </c>
      <c r="U17">
        <v>0.16999999999999998</v>
      </c>
      <c r="V17">
        <v>0.55000000000000004</v>
      </c>
      <c r="W17">
        <v>0.24</v>
      </c>
      <c r="X17">
        <v>0.71</v>
      </c>
      <c r="Y17">
        <v>0.71</v>
      </c>
      <c r="AA17" s="34">
        <v>0.03</v>
      </c>
      <c r="AB17" s="34">
        <v>0.11000000000000001</v>
      </c>
      <c r="AC17" s="34">
        <v>0.19000000000000003</v>
      </c>
      <c r="AD17" s="34">
        <v>0.28000000000000003</v>
      </c>
      <c r="AE17" s="34">
        <v>0.11000000000000004</v>
      </c>
      <c r="AF17" s="34">
        <v>0.41000000000000003</v>
      </c>
      <c r="AG17" s="34">
        <v>9.0000000000000024E-2</v>
      </c>
      <c r="AH17" s="34">
        <v>0.09</v>
      </c>
    </row>
    <row r="18" spans="1:34" x14ac:dyDescent="0.25">
      <c r="A18" s="26">
        <v>0</v>
      </c>
      <c r="B18" s="24">
        <v>4.0000000000000036E-2</v>
      </c>
      <c r="C18" s="24">
        <v>0.41000000000000003</v>
      </c>
      <c r="D18" s="24">
        <v>2.0000000000000018E-2</v>
      </c>
      <c r="E18" s="24">
        <v>9.9999999999999978E-2</v>
      </c>
      <c r="F18" s="24">
        <v>0.27</v>
      </c>
      <c r="G18" s="24">
        <v>0.27</v>
      </c>
      <c r="I18">
        <v>0.3</v>
      </c>
      <c r="J18">
        <v>0.19999999999999996</v>
      </c>
      <c r="K18">
        <v>0.19999999999999996</v>
      </c>
      <c r="L18">
        <v>0.16000000000000003</v>
      </c>
      <c r="M18">
        <v>0.49</v>
      </c>
      <c r="N18">
        <v>0</v>
      </c>
      <c r="O18">
        <v>9.9999999999999978E-2</v>
      </c>
      <c r="P18">
        <v>0</v>
      </c>
      <c r="R18">
        <v>0.95</v>
      </c>
      <c r="S18">
        <v>0.62</v>
      </c>
      <c r="T18">
        <v>0.25</v>
      </c>
      <c r="U18">
        <v>3.0000000000000027E-2</v>
      </c>
      <c r="V18">
        <v>0.65</v>
      </c>
      <c r="W18">
        <v>6.0000000000000053E-2</v>
      </c>
      <c r="X18">
        <v>0.41</v>
      </c>
      <c r="Y18">
        <v>0.41</v>
      </c>
      <c r="AA18" s="34">
        <v>7.0000000000000007E-2</v>
      </c>
      <c r="AB18" s="34">
        <v>0.41000000000000003</v>
      </c>
      <c r="AC18" s="34">
        <v>0.49</v>
      </c>
      <c r="AD18" s="34">
        <v>0.58000000000000007</v>
      </c>
      <c r="AE18" s="34">
        <v>0.18999999999999997</v>
      </c>
      <c r="AF18" s="34">
        <v>8.9999999999999969E-2</v>
      </c>
      <c r="AG18" s="34">
        <v>0.10999999999999999</v>
      </c>
      <c r="AH18" s="34">
        <v>9.9999999999999811E-3</v>
      </c>
    </row>
    <row r="19" spans="1:34" x14ac:dyDescent="0.25">
      <c r="A19" s="27">
        <v>0.9</v>
      </c>
      <c r="B19" s="25">
        <v>0.76</v>
      </c>
      <c r="C19" s="25">
        <v>0.71</v>
      </c>
      <c r="D19" s="24">
        <v>0.17999999999999994</v>
      </c>
      <c r="E19" s="24">
        <v>0.20000000000000007</v>
      </c>
      <c r="F19" s="24">
        <v>0.16999999999999993</v>
      </c>
      <c r="G19" s="24">
        <v>0.16999999999999993</v>
      </c>
      <c r="I19">
        <v>0.9</v>
      </c>
      <c r="J19">
        <v>0.19999999999999996</v>
      </c>
      <c r="K19">
        <v>9.9999999999999978E-2</v>
      </c>
      <c r="L19">
        <v>6.0000000000000053E-2</v>
      </c>
      <c r="M19">
        <v>0.39</v>
      </c>
      <c r="N19">
        <v>9.9999999999999978E-2</v>
      </c>
      <c r="O19">
        <v>0.19999999999999996</v>
      </c>
      <c r="P19">
        <v>0.19999999999999996</v>
      </c>
      <c r="R19">
        <v>0.75</v>
      </c>
      <c r="S19">
        <v>0.72000000000000008</v>
      </c>
      <c r="T19">
        <v>0.65</v>
      </c>
      <c r="U19">
        <v>0.43000000000000005</v>
      </c>
      <c r="V19">
        <v>0.45000000000000007</v>
      </c>
      <c r="W19">
        <v>0.14000000000000001</v>
      </c>
      <c r="X19">
        <v>0.71</v>
      </c>
      <c r="Y19">
        <v>0.71</v>
      </c>
      <c r="AA19" s="34">
        <v>0.87</v>
      </c>
      <c r="AB19" s="34">
        <v>0.81</v>
      </c>
      <c r="AC19" s="34">
        <v>0.59000000000000008</v>
      </c>
      <c r="AD19" s="34">
        <v>0.58000000000000007</v>
      </c>
      <c r="AE19" s="34">
        <v>0.6100000000000001</v>
      </c>
      <c r="AF19" s="34">
        <v>0.31000000000000005</v>
      </c>
      <c r="AG19" s="34">
        <v>0.38999999999999996</v>
      </c>
      <c r="AH19" s="34">
        <v>0.59000000000000008</v>
      </c>
    </row>
    <row r="20" spans="1:34" x14ac:dyDescent="0.25">
      <c r="A20" s="27">
        <v>0.7</v>
      </c>
      <c r="B20" s="25">
        <v>0.65999999999999992</v>
      </c>
      <c r="C20" s="25">
        <v>0.31000000000000005</v>
      </c>
      <c r="D20" s="24">
        <v>0.48</v>
      </c>
      <c r="E20" s="24">
        <v>0</v>
      </c>
      <c r="F20" s="24">
        <v>0.47</v>
      </c>
      <c r="G20" s="24">
        <v>0.66999999999999993</v>
      </c>
      <c r="I20">
        <v>0.2</v>
      </c>
      <c r="J20">
        <v>0.4</v>
      </c>
      <c r="K20">
        <v>0.39999999999999997</v>
      </c>
      <c r="L20">
        <v>0.46</v>
      </c>
      <c r="M20">
        <v>0.31</v>
      </c>
      <c r="N20">
        <v>9.9999999999999978E-2</v>
      </c>
      <c r="O20">
        <v>0.4</v>
      </c>
      <c r="P20">
        <v>0.4</v>
      </c>
      <c r="R20">
        <v>0.05</v>
      </c>
      <c r="S20">
        <v>2.0000000000000004E-2</v>
      </c>
      <c r="T20">
        <v>0.15</v>
      </c>
      <c r="U20">
        <v>6.9999999999999951E-2</v>
      </c>
      <c r="V20">
        <v>4.9999999999999989E-2</v>
      </c>
      <c r="W20">
        <v>0.24</v>
      </c>
      <c r="X20">
        <v>0.10999999999999999</v>
      </c>
      <c r="Y20">
        <v>0.10999999999999999</v>
      </c>
      <c r="AA20" s="34">
        <v>7.0000000000000007E-2</v>
      </c>
      <c r="AB20" s="34">
        <v>1.0000000000000009E-2</v>
      </c>
      <c r="AC20" s="34">
        <v>0.10999999999999999</v>
      </c>
      <c r="AD20" s="34">
        <v>0.12</v>
      </c>
      <c r="AE20" s="34">
        <v>1.0000000000000009E-2</v>
      </c>
      <c r="AF20" s="34">
        <v>0.41000000000000003</v>
      </c>
      <c r="AG20" s="34">
        <v>1.0000000000000009E-2</v>
      </c>
      <c r="AH20" s="34">
        <v>0.09</v>
      </c>
    </row>
    <row r="21" spans="1:34" x14ac:dyDescent="0.25">
      <c r="A21" s="26">
        <v>0</v>
      </c>
      <c r="B21" s="24">
        <v>0.36</v>
      </c>
      <c r="C21" s="24">
        <v>0.51</v>
      </c>
      <c r="D21" s="24">
        <v>0.17999999999999994</v>
      </c>
      <c r="E21" s="24">
        <v>9.9999999999999978E-2</v>
      </c>
      <c r="F21" s="24">
        <v>0.16999999999999993</v>
      </c>
      <c r="G21" s="24">
        <v>3.0000000000000027E-2</v>
      </c>
      <c r="I21">
        <v>0</v>
      </c>
      <c r="J21">
        <v>0</v>
      </c>
      <c r="K21">
        <v>0.19999999999999996</v>
      </c>
      <c r="L21">
        <v>6.0000000000000053E-2</v>
      </c>
      <c r="M21">
        <v>0.49</v>
      </c>
      <c r="N21">
        <v>0</v>
      </c>
      <c r="O21">
        <v>0</v>
      </c>
      <c r="P21">
        <v>0</v>
      </c>
      <c r="R21">
        <v>0.05</v>
      </c>
      <c r="S21">
        <v>0.12000000000000001</v>
      </c>
      <c r="T21">
        <v>0.25</v>
      </c>
      <c r="U21">
        <v>0.53</v>
      </c>
      <c r="V21">
        <v>5.0000000000000044E-2</v>
      </c>
      <c r="W21">
        <v>0.33999999999999997</v>
      </c>
      <c r="X21">
        <v>0.21000000000000002</v>
      </c>
      <c r="Y21">
        <v>0.41</v>
      </c>
      <c r="AA21" s="34">
        <v>0.03</v>
      </c>
      <c r="AB21" s="34">
        <v>0.21</v>
      </c>
      <c r="AC21" s="34">
        <v>0.39</v>
      </c>
      <c r="AD21" s="34">
        <v>0.68</v>
      </c>
      <c r="AE21" s="34">
        <v>0.21000000000000002</v>
      </c>
      <c r="AF21" s="34">
        <v>0.51</v>
      </c>
      <c r="AG21" s="34">
        <v>1.0000000000000009E-2</v>
      </c>
      <c r="AH21" s="34">
        <v>0.59000000000000008</v>
      </c>
    </row>
    <row r="22" spans="1:34" x14ac:dyDescent="0.25">
      <c r="A22" s="26">
        <v>0</v>
      </c>
      <c r="B22" s="24">
        <v>0.15999999999999992</v>
      </c>
      <c r="C22" s="24">
        <v>0.6100000000000001</v>
      </c>
      <c r="D22" s="24">
        <v>7.999999999999996E-2</v>
      </c>
      <c r="E22" s="24">
        <v>0.4</v>
      </c>
      <c r="F22" s="24">
        <v>0.16999999999999993</v>
      </c>
      <c r="G22" s="24">
        <v>0.16999999999999993</v>
      </c>
      <c r="I22">
        <v>0.3</v>
      </c>
      <c r="J22">
        <v>0</v>
      </c>
      <c r="K22">
        <v>9.9999999999999978E-2</v>
      </c>
      <c r="L22">
        <v>0.16000000000000003</v>
      </c>
      <c r="M22">
        <v>0.49</v>
      </c>
      <c r="N22">
        <v>0.19999999999999996</v>
      </c>
      <c r="O22">
        <v>0</v>
      </c>
      <c r="P22">
        <v>0</v>
      </c>
      <c r="R22">
        <v>0.05</v>
      </c>
      <c r="S22">
        <v>0.12000000000000001</v>
      </c>
      <c r="T22">
        <v>0.15000000000000002</v>
      </c>
      <c r="U22">
        <v>0.53</v>
      </c>
      <c r="V22">
        <v>0.14999999999999997</v>
      </c>
      <c r="W22">
        <v>3.9999999999999925E-2</v>
      </c>
      <c r="X22">
        <v>0.31</v>
      </c>
      <c r="Y22">
        <v>0.31</v>
      </c>
      <c r="AA22" s="34">
        <v>0.03</v>
      </c>
      <c r="AB22" s="34">
        <v>0.11000000000000001</v>
      </c>
      <c r="AC22" s="34">
        <v>0.19000000000000003</v>
      </c>
      <c r="AD22" s="34">
        <v>0.38</v>
      </c>
      <c r="AE22" s="34">
        <v>0.11000000000000004</v>
      </c>
      <c r="AF22" s="34">
        <v>0.10999999999999999</v>
      </c>
      <c r="AG22" s="34">
        <v>9.0000000000000024E-2</v>
      </c>
      <c r="AH22" s="34">
        <v>0.29000000000000004</v>
      </c>
    </row>
    <row r="23" spans="1:34" x14ac:dyDescent="0.25">
      <c r="A23" s="27">
        <v>0.8</v>
      </c>
      <c r="B23" s="25">
        <v>0.15999999999999992</v>
      </c>
      <c r="C23" s="25">
        <v>0.21000000000000008</v>
      </c>
      <c r="D23" s="24">
        <v>0.57999999999999996</v>
      </c>
      <c r="E23" s="24">
        <v>0.30000000000000004</v>
      </c>
      <c r="F23" s="24">
        <v>0.66999999999999993</v>
      </c>
      <c r="G23" s="24">
        <v>0.16999999999999993</v>
      </c>
      <c r="I23">
        <v>0.7</v>
      </c>
      <c r="J23">
        <v>0.19999999999999996</v>
      </c>
      <c r="K23">
        <v>0.3</v>
      </c>
      <c r="L23">
        <v>0.36</v>
      </c>
      <c r="M23">
        <v>0.18999999999999995</v>
      </c>
      <c r="N23">
        <v>0.19999999999999996</v>
      </c>
      <c r="O23">
        <v>0.5</v>
      </c>
      <c r="P23">
        <v>9.9999999999999978E-2</v>
      </c>
      <c r="R23">
        <v>0.85</v>
      </c>
      <c r="S23">
        <v>0.62</v>
      </c>
      <c r="T23">
        <v>0.15000000000000002</v>
      </c>
      <c r="U23">
        <v>6.9999999999999951E-2</v>
      </c>
      <c r="V23">
        <v>0.15000000000000002</v>
      </c>
      <c r="W23">
        <v>3.9999999999999925E-2</v>
      </c>
      <c r="X23">
        <v>0.10999999999999999</v>
      </c>
      <c r="Y23">
        <v>0.51</v>
      </c>
      <c r="AA23" s="34">
        <v>0.47</v>
      </c>
      <c r="AB23" s="34">
        <v>0.51</v>
      </c>
      <c r="AC23" s="34">
        <v>0.49</v>
      </c>
      <c r="AD23" s="34">
        <v>0.58000000000000007</v>
      </c>
      <c r="AE23" s="34">
        <v>0.21000000000000002</v>
      </c>
      <c r="AF23" s="34">
        <v>0.10999999999999999</v>
      </c>
      <c r="AG23" s="34">
        <v>9.0000000000000024E-2</v>
      </c>
      <c r="AH23" s="34">
        <v>0.49</v>
      </c>
    </row>
    <row r="24" spans="1:34" x14ac:dyDescent="0.25">
      <c r="A24" s="26">
        <v>0</v>
      </c>
      <c r="B24" s="24">
        <v>0.15999999999999992</v>
      </c>
      <c r="C24" s="24">
        <v>0.71</v>
      </c>
      <c r="D24" s="24">
        <v>7.999999999999996E-2</v>
      </c>
      <c r="E24" s="24">
        <v>0.4</v>
      </c>
      <c r="F24" s="24">
        <v>0.27</v>
      </c>
      <c r="G24" s="24">
        <v>6.9999999999999951E-2</v>
      </c>
      <c r="I24">
        <v>0.5</v>
      </c>
      <c r="J24">
        <v>0</v>
      </c>
      <c r="K24">
        <v>0.39999999999999997</v>
      </c>
      <c r="L24">
        <v>6.0000000000000053E-2</v>
      </c>
      <c r="M24">
        <v>0.29000000000000004</v>
      </c>
      <c r="N24">
        <v>9.9999999999999978E-2</v>
      </c>
      <c r="O24">
        <v>0.30000000000000004</v>
      </c>
      <c r="P24">
        <v>0</v>
      </c>
      <c r="R24">
        <v>0.05</v>
      </c>
      <c r="S24">
        <v>2.0000000000000004E-2</v>
      </c>
      <c r="T24">
        <v>0.44999999999999996</v>
      </c>
      <c r="U24">
        <v>0.53</v>
      </c>
      <c r="V24">
        <v>0.25</v>
      </c>
      <c r="W24">
        <v>0.24</v>
      </c>
      <c r="X24">
        <v>0.41</v>
      </c>
      <c r="Y24">
        <v>0.41</v>
      </c>
      <c r="AA24" s="34">
        <v>0.03</v>
      </c>
      <c r="AB24" s="34">
        <v>0.11000000000000001</v>
      </c>
      <c r="AC24" s="34">
        <v>0.29000000000000004</v>
      </c>
      <c r="AD24" s="34">
        <v>0.48</v>
      </c>
      <c r="AE24" s="34">
        <v>0.11000000000000004</v>
      </c>
      <c r="AF24" s="34">
        <v>0.31000000000000005</v>
      </c>
      <c r="AG24" s="34">
        <v>9.0000000000000024E-2</v>
      </c>
      <c r="AH24" s="34">
        <v>0.09</v>
      </c>
    </row>
    <row r="25" spans="1:34" x14ac:dyDescent="0.25">
      <c r="A25" s="26">
        <v>0</v>
      </c>
      <c r="B25" s="24">
        <v>5.9999999999999942E-2</v>
      </c>
      <c r="C25" s="24">
        <v>0.6100000000000001</v>
      </c>
      <c r="D25" s="24">
        <v>2.0000000000000018E-2</v>
      </c>
      <c r="E25" s="24">
        <v>0</v>
      </c>
      <c r="F25" s="24">
        <v>3.0000000000000027E-2</v>
      </c>
      <c r="G25" s="24">
        <v>3.0000000000000027E-2</v>
      </c>
      <c r="I25">
        <v>0.7</v>
      </c>
      <c r="J25">
        <v>9.9999999999999978E-2</v>
      </c>
      <c r="K25">
        <v>0.19999999999999996</v>
      </c>
      <c r="L25">
        <v>4.0000000000000036E-2</v>
      </c>
      <c r="M25">
        <v>0.49</v>
      </c>
      <c r="N25">
        <v>0</v>
      </c>
      <c r="O25">
        <v>0</v>
      </c>
      <c r="P25">
        <v>0</v>
      </c>
      <c r="R25">
        <v>0.05</v>
      </c>
      <c r="S25">
        <v>0.12000000000000001</v>
      </c>
      <c r="T25">
        <v>0.15000000000000002</v>
      </c>
      <c r="U25">
        <v>0.22999999999999998</v>
      </c>
      <c r="V25">
        <v>0.14999999999999997</v>
      </c>
      <c r="W25">
        <v>0.26</v>
      </c>
      <c r="X25">
        <v>1.0000000000000009E-2</v>
      </c>
      <c r="Y25">
        <v>1.0000000000000009E-2</v>
      </c>
      <c r="AA25" s="34">
        <v>0.03</v>
      </c>
      <c r="AB25" s="34">
        <v>1.0000000000000009E-2</v>
      </c>
      <c r="AC25" s="34">
        <v>9.9999999999999811E-3</v>
      </c>
      <c r="AD25" s="34">
        <v>7.9999999999999988E-2</v>
      </c>
      <c r="AE25" s="34">
        <v>8.9999999999999969E-2</v>
      </c>
      <c r="AF25" s="34">
        <v>0.10999999999999999</v>
      </c>
      <c r="AG25" s="34">
        <v>9.0000000000000024E-2</v>
      </c>
      <c r="AH25" s="34">
        <v>0.09</v>
      </c>
    </row>
    <row r="26" spans="1:34" x14ac:dyDescent="0.25">
      <c r="A26" s="26">
        <v>0</v>
      </c>
      <c r="B26" s="24">
        <v>5.9999999999999942E-2</v>
      </c>
      <c r="C26" s="24">
        <v>0.51</v>
      </c>
      <c r="D26" s="24">
        <v>7.999999999999996E-2</v>
      </c>
      <c r="E26" s="24">
        <v>0.20000000000000007</v>
      </c>
      <c r="F26" s="24">
        <v>0.16999999999999993</v>
      </c>
      <c r="G26" s="24">
        <v>6.9999999999999951E-2</v>
      </c>
      <c r="I26">
        <v>0.8</v>
      </c>
      <c r="J26">
        <v>9.9999999999999978E-2</v>
      </c>
      <c r="K26">
        <v>0.3</v>
      </c>
      <c r="L26">
        <v>0.16000000000000003</v>
      </c>
      <c r="M26">
        <v>0.49</v>
      </c>
      <c r="N26">
        <v>0.19999999999999996</v>
      </c>
      <c r="O26">
        <v>9.9999999999999978E-2</v>
      </c>
      <c r="P26">
        <v>9.9999999999999978E-2</v>
      </c>
      <c r="R26">
        <v>0.25</v>
      </c>
      <c r="S26">
        <v>0.32</v>
      </c>
      <c r="T26">
        <v>0.44999999999999996</v>
      </c>
      <c r="U26">
        <v>0.33000000000000007</v>
      </c>
      <c r="V26">
        <v>0.25</v>
      </c>
      <c r="W26">
        <v>0.24</v>
      </c>
      <c r="X26">
        <v>0.31</v>
      </c>
      <c r="Y26">
        <v>0.21000000000000002</v>
      </c>
      <c r="AA26" s="34">
        <v>0.17</v>
      </c>
      <c r="AB26" s="34">
        <v>0.31000000000000005</v>
      </c>
      <c r="AC26" s="34">
        <v>0.19000000000000003</v>
      </c>
      <c r="AD26" s="34">
        <v>0.38</v>
      </c>
      <c r="AE26" s="34">
        <v>0.21000000000000002</v>
      </c>
      <c r="AF26" s="34">
        <v>0.41000000000000003</v>
      </c>
      <c r="AG26" s="34">
        <v>0.19</v>
      </c>
      <c r="AH26" s="34">
        <v>0.09</v>
      </c>
    </row>
    <row r="27" spans="1:34" x14ac:dyDescent="0.25">
      <c r="A27" s="26">
        <v>0</v>
      </c>
      <c r="B27" s="24">
        <v>0.15999999999999992</v>
      </c>
      <c r="C27" s="24">
        <v>0.71</v>
      </c>
      <c r="D27" s="24">
        <v>2.0000000000000018E-2</v>
      </c>
      <c r="E27" s="24">
        <v>9.9999999999999978E-2</v>
      </c>
      <c r="F27" s="24">
        <v>6.9999999999999951E-2</v>
      </c>
      <c r="G27" s="24">
        <v>6.9999999999999951E-2</v>
      </c>
      <c r="I27">
        <v>0.1</v>
      </c>
      <c r="J27">
        <v>9.9999999999999978E-2</v>
      </c>
      <c r="K27">
        <v>0.6</v>
      </c>
      <c r="L27">
        <v>0.16000000000000003</v>
      </c>
      <c r="M27">
        <v>0.18999999999999995</v>
      </c>
      <c r="N27">
        <v>0.6</v>
      </c>
      <c r="O27">
        <v>0.19999999999999996</v>
      </c>
      <c r="P27">
        <v>0.19999999999999996</v>
      </c>
      <c r="R27">
        <v>0.05</v>
      </c>
      <c r="S27">
        <v>2.0000000000000004E-2</v>
      </c>
      <c r="T27">
        <v>0.15000000000000002</v>
      </c>
      <c r="U27">
        <v>0.13</v>
      </c>
      <c r="V27">
        <v>5.0000000000000044E-2</v>
      </c>
      <c r="W27">
        <v>0.14000000000000001</v>
      </c>
      <c r="X27">
        <v>0.10999999999999999</v>
      </c>
      <c r="Y27">
        <v>0.21000000000000002</v>
      </c>
      <c r="AA27" s="34">
        <v>0.03</v>
      </c>
      <c r="AB27" s="34">
        <v>0.11000000000000001</v>
      </c>
      <c r="AC27" s="34">
        <v>0.09</v>
      </c>
      <c r="AD27" s="34">
        <v>0.48</v>
      </c>
      <c r="AE27" s="34">
        <v>1.0000000000000009E-2</v>
      </c>
      <c r="AF27" s="34">
        <v>0.20999999999999996</v>
      </c>
      <c r="AG27" s="34">
        <v>1.0000000000000009E-2</v>
      </c>
      <c r="AH27" s="34">
        <v>9.9999999999999811E-3</v>
      </c>
    </row>
    <row r="28" spans="1:34" x14ac:dyDescent="0.25">
      <c r="A28" s="26">
        <v>9.9999999999999978E-2</v>
      </c>
      <c r="B28" s="24">
        <v>0.26</v>
      </c>
      <c r="C28" s="24">
        <v>0.6100000000000001</v>
      </c>
      <c r="D28" s="24">
        <v>0.17999999999999994</v>
      </c>
      <c r="E28" s="24">
        <v>0.7</v>
      </c>
      <c r="F28" s="24">
        <v>0.16999999999999993</v>
      </c>
      <c r="G28" s="24">
        <v>0.16999999999999993</v>
      </c>
      <c r="I28">
        <v>0.2</v>
      </c>
      <c r="J28">
        <v>9.9999999999999978E-2</v>
      </c>
      <c r="K28">
        <v>9.9999999999999978E-2</v>
      </c>
      <c r="L28">
        <v>6.0000000000000053E-2</v>
      </c>
      <c r="M28">
        <v>0.29000000000000004</v>
      </c>
      <c r="N28">
        <v>0.8</v>
      </c>
      <c r="O28">
        <v>0.19999999999999996</v>
      </c>
      <c r="P28">
        <v>0.19999999999999996</v>
      </c>
      <c r="R28">
        <v>0.05</v>
      </c>
      <c r="S28">
        <v>0.21999999999999997</v>
      </c>
      <c r="T28">
        <v>0.35</v>
      </c>
      <c r="U28">
        <v>0.43000000000000005</v>
      </c>
      <c r="V28">
        <v>0.25</v>
      </c>
      <c r="W28">
        <v>0.24</v>
      </c>
      <c r="X28">
        <v>0.51</v>
      </c>
      <c r="Y28">
        <v>0.21000000000000002</v>
      </c>
      <c r="AA28" s="34">
        <v>0.17</v>
      </c>
      <c r="AB28" s="34">
        <v>0.31000000000000005</v>
      </c>
      <c r="AC28" s="34">
        <v>0.39</v>
      </c>
      <c r="AD28" s="34">
        <v>0.58000000000000007</v>
      </c>
      <c r="AE28" s="34">
        <v>0.41</v>
      </c>
      <c r="AF28" s="34">
        <v>0.41000000000000003</v>
      </c>
      <c r="AG28" s="34">
        <v>9.0000000000000024E-2</v>
      </c>
      <c r="AH28" s="34">
        <v>0.10999999999999999</v>
      </c>
    </row>
    <row r="29" spans="1:34" x14ac:dyDescent="0.25">
      <c r="A29" s="26">
        <v>0</v>
      </c>
      <c r="B29" s="24">
        <v>5.9999999999999942E-2</v>
      </c>
      <c r="C29" s="24">
        <v>0.91</v>
      </c>
      <c r="D29" s="24">
        <v>2.0000000000000018E-2</v>
      </c>
      <c r="E29" s="24">
        <v>9.9999999999999978E-2</v>
      </c>
      <c r="F29" s="24">
        <v>3.0000000000000027E-2</v>
      </c>
      <c r="G29" s="24">
        <v>6.9999999999999951E-2</v>
      </c>
      <c r="I29">
        <v>0.5</v>
      </c>
      <c r="J29">
        <v>0</v>
      </c>
      <c r="K29">
        <v>0.6</v>
      </c>
      <c r="L29">
        <v>0.66</v>
      </c>
      <c r="M29">
        <v>0.10999999999999999</v>
      </c>
      <c r="N29">
        <v>0.4</v>
      </c>
      <c r="O29">
        <v>0</v>
      </c>
      <c r="P29">
        <v>0</v>
      </c>
      <c r="R29">
        <v>0.05</v>
      </c>
      <c r="S29">
        <v>0.32</v>
      </c>
      <c r="T29">
        <v>0.44999999999999996</v>
      </c>
      <c r="U29">
        <v>0.53</v>
      </c>
      <c r="V29">
        <v>0.25</v>
      </c>
      <c r="W29">
        <v>0.33999999999999997</v>
      </c>
      <c r="X29">
        <v>0.31</v>
      </c>
      <c r="Y29">
        <v>0.6100000000000001</v>
      </c>
      <c r="AA29" s="34">
        <v>0.03</v>
      </c>
      <c r="AB29" s="34">
        <v>0.31000000000000005</v>
      </c>
      <c r="AC29" s="34">
        <v>0.49</v>
      </c>
      <c r="AD29" s="34">
        <v>0.68</v>
      </c>
      <c r="AE29" s="34">
        <v>0.31</v>
      </c>
      <c r="AF29" s="34">
        <v>0.41000000000000003</v>
      </c>
      <c r="AG29" s="34">
        <v>9.0000000000000024E-2</v>
      </c>
      <c r="AH29" s="34">
        <v>0.49</v>
      </c>
    </row>
    <row r="30" spans="1:34" x14ac:dyDescent="0.25">
      <c r="A30" s="26">
        <v>0</v>
      </c>
      <c r="B30" s="24">
        <v>0.36</v>
      </c>
      <c r="C30" s="24">
        <v>0.51</v>
      </c>
      <c r="D30" s="24">
        <v>2.0000000000000018E-2</v>
      </c>
      <c r="E30" s="24">
        <v>0.20000000000000007</v>
      </c>
      <c r="F30" s="24">
        <v>6.9999999999999951E-2</v>
      </c>
      <c r="G30" s="24">
        <v>6.9999999999999951E-2</v>
      </c>
      <c r="I30">
        <v>0.2</v>
      </c>
      <c r="J30">
        <v>0</v>
      </c>
      <c r="K30">
        <v>9.9999999999999978E-2</v>
      </c>
      <c r="L30">
        <v>4.0000000000000036E-2</v>
      </c>
      <c r="M30">
        <v>0.29000000000000004</v>
      </c>
      <c r="N30">
        <v>9.9999999999999978E-2</v>
      </c>
      <c r="O30">
        <v>0</v>
      </c>
      <c r="P30">
        <v>0</v>
      </c>
      <c r="R30">
        <v>0.05</v>
      </c>
      <c r="S30">
        <v>0.21999999999999997</v>
      </c>
      <c r="T30">
        <v>0.44999999999999996</v>
      </c>
      <c r="U30">
        <v>0.53</v>
      </c>
      <c r="V30">
        <v>5.0000000000000044E-2</v>
      </c>
      <c r="W30">
        <v>0.24</v>
      </c>
      <c r="X30">
        <v>0.21000000000000002</v>
      </c>
      <c r="Y30">
        <v>0.31</v>
      </c>
      <c r="AA30" s="34">
        <v>0.03</v>
      </c>
      <c r="AB30" s="34">
        <v>0.11000000000000001</v>
      </c>
      <c r="AC30" s="34">
        <v>0.09</v>
      </c>
      <c r="AD30" s="34">
        <v>0.28000000000000003</v>
      </c>
      <c r="AE30" s="34">
        <v>0.31</v>
      </c>
      <c r="AF30" s="34">
        <v>0.10999999999999999</v>
      </c>
      <c r="AG30" s="34">
        <v>9.0000000000000024E-2</v>
      </c>
      <c r="AH30" s="34">
        <v>0.09</v>
      </c>
    </row>
    <row r="31" spans="1:34" x14ac:dyDescent="0.25">
      <c r="A31" s="26">
        <v>0</v>
      </c>
      <c r="B31" s="24">
        <v>5.9999999999999942E-2</v>
      </c>
      <c r="C31" s="24">
        <v>0.6100000000000001</v>
      </c>
      <c r="D31" s="24">
        <v>7.999999999999996E-2</v>
      </c>
      <c r="E31" s="24">
        <v>0.20000000000000007</v>
      </c>
      <c r="F31" s="24">
        <v>3.0000000000000027E-2</v>
      </c>
      <c r="G31" s="24">
        <v>3.0000000000000027E-2</v>
      </c>
      <c r="I31">
        <v>0.3</v>
      </c>
      <c r="J31">
        <v>0</v>
      </c>
      <c r="K31">
        <v>0.19999999999999996</v>
      </c>
      <c r="L31">
        <v>4.0000000000000036E-2</v>
      </c>
      <c r="M31">
        <v>0.39</v>
      </c>
      <c r="N31">
        <v>9.9999999999999978E-2</v>
      </c>
      <c r="O31">
        <v>0</v>
      </c>
      <c r="P31">
        <v>0</v>
      </c>
      <c r="R31">
        <v>0.05</v>
      </c>
      <c r="S31">
        <v>0.21999999999999997</v>
      </c>
      <c r="T31">
        <v>0.25</v>
      </c>
      <c r="U31">
        <v>0.22999999999999998</v>
      </c>
      <c r="V31">
        <v>5.0000000000000044E-2</v>
      </c>
      <c r="W31">
        <v>0.14000000000000001</v>
      </c>
      <c r="X31">
        <v>0.31</v>
      </c>
      <c r="Y31">
        <v>0.41</v>
      </c>
      <c r="AA31" s="34">
        <v>0.17</v>
      </c>
      <c r="AB31" s="34">
        <v>0.31000000000000005</v>
      </c>
      <c r="AC31" s="34">
        <v>0.39</v>
      </c>
      <c r="AD31" s="34">
        <v>0.58000000000000007</v>
      </c>
      <c r="AE31" s="34">
        <v>0.41</v>
      </c>
      <c r="AF31" s="34">
        <v>0.31000000000000005</v>
      </c>
      <c r="AG31" s="34">
        <v>0.28999999999999998</v>
      </c>
      <c r="AH31" s="34">
        <v>0.49</v>
      </c>
    </row>
    <row r="32" spans="1:34" x14ac:dyDescent="0.25">
      <c r="A32" s="26">
        <v>0</v>
      </c>
      <c r="B32" s="24">
        <v>0.15999999999999992</v>
      </c>
      <c r="C32" s="24">
        <v>0.31000000000000005</v>
      </c>
      <c r="D32" s="24">
        <v>7.999999999999996E-2</v>
      </c>
      <c r="E32" s="24">
        <v>9.9999999999999978E-2</v>
      </c>
      <c r="F32" s="24">
        <v>3.0000000000000027E-2</v>
      </c>
      <c r="G32" s="24">
        <v>6.9999999999999951E-2</v>
      </c>
      <c r="I32">
        <v>0.7</v>
      </c>
      <c r="J32">
        <v>9.9999999999999978E-2</v>
      </c>
      <c r="K32">
        <v>0.20000000000000007</v>
      </c>
      <c r="L32">
        <v>0.14000000000000001</v>
      </c>
      <c r="M32">
        <v>0.21000000000000002</v>
      </c>
      <c r="N32">
        <v>0.5</v>
      </c>
      <c r="O32">
        <v>0.19999999999999996</v>
      </c>
      <c r="P32">
        <v>0</v>
      </c>
      <c r="R32">
        <v>0.05</v>
      </c>
      <c r="S32">
        <v>0.12000000000000001</v>
      </c>
      <c r="T32">
        <v>0.15000000000000002</v>
      </c>
      <c r="U32">
        <v>0.33000000000000007</v>
      </c>
      <c r="V32">
        <v>4.9999999999999989E-2</v>
      </c>
      <c r="W32">
        <v>0.14000000000000001</v>
      </c>
      <c r="X32">
        <v>0.31</v>
      </c>
      <c r="Y32">
        <v>0.09</v>
      </c>
      <c r="AA32" s="34">
        <v>7.0000000000000007E-2</v>
      </c>
      <c r="AB32" s="34">
        <v>0.21</v>
      </c>
      <c r="AC32" s="34">
        <v>0.19000000000000003</v>
      </c>
      <c r="AD32" s="34">
        <v>0.38</v>
      </c>
      <c r="AE32" s="34">
        <v>1.0000000000000009E-2</v>
      </c>
      <c r="AF32" s="34">
        <v>0.20999999999999996</v>
      </c>
      <c r="AG32" s="34">
        <v>0.19</v>
      </c>
      <c r="AH32" s="34">
        <v>9.9999999999999811E-3</v>
      </c>
    </row>
    <row r="33" spans="1:34" x14ac:dyDescent="0.25">
      <c r="A33" s="27">
        <v>0.5</v>
      </c>
      <c r="B33" s="25">
        <v>0.36</v>
      </c>
      <c r="C33" s="25">
        <v>1.0000000000000009E-2</v>
      </c>
      <c r="D33" s="24">
        <v>0.38</v>
      </c>
      <c r="E33" s="24">
        <v>9.9999999999999978E-2</v>
      </c>
      <c r="F33" s="24">
        <v>0.47</v>
      </c>
      <c r="G33" s="24">
        <v>0.47</v>
      </c>
      <c r="I33">
        <v>0.6</v>
      </c>
      <c r="J33">
        <v>0.19999999999999996</v>
      </c>
      <c r="K33">
        <v>0.19999999999999996</v>
      </c>
      <c r="L33">
        <v>0.16000000000000003</v>
      </c>
      <c r="M33">
        <v>0.18999999999999995</v>
      </c>
      <c r="N33">
        <v>0.19999999999999996</v>
      </c>
      <c r="O33">
        <v>0.30000000000000004</v>
      </c>
      <c r="P33">
        <v>0.30000000000000004</v>
      </c>
      <c r="R33">
        <v>0.15000000000000002</v>
      </c>
      <c r="S33">
        <v>0.32</v>
      </c>
      <c r="T33">
        <v>0.25</v>
      </c>
      <c r="U33">
        <v>0.13</v>
      </c>
      <c r="V33">
        <v>5.0000000000000044E-2</v>
      </c>
      <c r="W33">
        <v>6.0000000000000053E-2</v>
      </c>
      <c r="X33">
        <v>0.31</v>
      </c>
      <c r="Y33">
        <v>0.31</v>
      </c>
      <c r="AA33" s="34">
        <v>7.0000000000000007E-2</v>
      </c>
      <c r="AB33" s="34">
        <v>0.21</v>
      </c>
      <c r="AC33" s="34">
        <v>0.19000000000000003</v>
      </c>
      <c r="AD33" s="34">
        <v>0.38</v>
      </c>
      <c r="AE33" s="34">
        <v>0.11000000000000004</v>
      </c>
      <c r="AF33" s="34">
        <v>0.20999999999999996</v>
      </c>
      <c r="AG33" s="34">
        <v>0.28999999999999998</v>
      </c>
      <c r="AH33" s="34">
        <v>0.29000000000000004</v>
      </c>
    </row>
    <row r="34" spans="1:34" x14ac:dyDescent="0.25">
      <c r="A34" s="26">
        <v>0</v>
      </c>
      <c r="B34" s="24">
        <v>0.15999999999999992</v>
      </c>
      <c r="C34" s="24">
        <v>0.6100000000000001</v>
      </c>
      <c r="D34" s="24">
        <v>0.28000000000000003</v>
      </c>
      <c r="E34" s="24">
        <v>0.4</v>
      </c>
      <c r="F34" s="24">
        <v>0.16999999999999993</v>
      </c>
      <c r="G34" s="24">
        <v>6.9999999999999951E-2</v>
      </c>
      <c r="I34">
        <v>0.2</v>
      </c>
      <c r="J34">
        <v>0.19999999999999996</v>
      </c>
      <c r="K34">
        <v>0.6</v>
      </c>
      <c r="L34">
        <v>0.66</v>
      </c>
      <c r="M34">
        <v>0.39</v>
      </c>
      <c r="N34">
        <v>0.4</v>
      </c>
      <c r="O34">
        <v>0.30000000000000004</v>
      </c>
      <c r="P34">
        <v>0.19999999999999996</v>
      </c>
      <c r="R34">
        <v>0.05</v>
      </c>
      <c r="S34">
        <v>0.12000000000000001</v>
      </c>
      <c r="T34">
        <v>4.9999999999999989E-2</v>
      </c>
      <c r="U34">
        <v>3.0000000000000027E-2</v>
      </c>
      <c r="V34">
        <v>5.0000000000000044E-2</v>
      </c>
      <c r="W34">
        <v>3.9999999999999925E-2</v>
      </c>
      <c r="X34">
        <v>0.10999999999999999</v>
      </c>
      <c r="Y34">
        <v>1.0000000000000009E-2</v>
      </c>
      <c r="AA34" s="34">
        <v>7.0000000000000007E-2</v>
      </c>
      <c r="AB34" s="34">
        <v>0.31000000000000005</v>
      </c>
      <c r="AC34" s="34">
        <v>0.39</v>
      </c>
      <c r="AD34" s="34">
        <v>0.58000000000000007</v>
      </c>
      <c r="AE34" s="34">
        <v>0.31</v>
      </c>
      <c r="AF34" s="34">
        <v>0.41000000000000003</v>
      </c>
      <c r="AG34" s="34">
        <v>0.19</v>
      </c>
      <c r="AH34" s="34">
        <v>0.19000000000000003</v>
      </c>
    </row>
    <row r="35" spans="1:34" x14ac:dyDescent="0.25">
      <c r="A35" s="27">
        <v>0.9</v>
      </c>
      <c r="B35" s="25">
        <v>0.65999999999999992</v>
      </c>
      <c r="C35" s="25">
        <v>0.71</v>
      </c>
      <c r="D35" s="24">
        <v>0.78</v>
      </c>
      <c r="E35" s="24">
        <v>0.60000000000000009</v>
      </c>
      <c r="F35" s="24">
        <v>0.87</v>
      </c>
      <c r="G35" s="24">
        <v>0.97</v>
      </c>
      <c r="I35">
        <v>0.1</v>
      </c>
      <c r="J35">
        <v>0.8</v>
      </c>
      <c r="K35">
        <v>0.6</v>
      </c>
      <c r="L35">
        <v>0.56000000000000005</v>
      </c>
      <c r="M35">
        <v>0.31</v>
      </c>
      <c r="N35">
        <v>0.7</v>
      </c>
      <c r="O35">
        <v>0.9</v>
      </c>
      <c r="P35">
        <v>0.9</v>
      </c>
      <c r="R35">
        <v>0.15000000000000002</v>
      </c>
      <c r="S35">
        <v>0.12000000000000001</v>
      </c>
      <c r="T35">
        <v>4.9999999999999989E-2</v>
      </c>
      <c r="U35">
        <v>0.16999999999999998</v>
      </c>
      <c r="V35">
        <v>0.14999999999999997</v>
      </c>
      <c r="W35">
        <v>0.36000000000000004</v>
      </c>
      <c r="X35">
        <v>0.09</v>
      </c>
      <c r="Y35">
        <v>0.09</v>
      </c>
      <c r="AA35" s="34">
        <v>7.0000000000000007E-2</v>
      </c>
      <c r="AB35" s="34">
        <v>0.11000000000000001</v>
      </c>
      <c r="AC35" s="34">
        <v>9.9999999999999811E-3</v>
      </c>
      <c r="AD35" s="34">
        <v>7.9999999999999988E-2</v>
      </c>
      <c r="AE35" s="34">
        <v>8.9999999999999969E-2</v>
      </c>
      <c r="AF35" s="34">
        <v>0.19</v>
      </c>
      <c r="AG35" s="34">
        <v>0.21</v>
      </c>
      <c r="AH35" s="34">
        <v>0.10999999999999999</v>
      </c>
    </row>
    <row r="37" spans="1:34" x14ac:dyDescent="0.25">
      <c r="A37" t="s">
        <v>65</v>
      </c>
    </row>
    <row r="38" spans="1:34" x14ac:dyDescent="0.25">
      <c r="A38" s="97" t="s">
        <v>63</v>
      </c>
      <c r="B38" s="97"/>
      <c r="C38" s="97"/>
      <c r="D38" s="97"/>
      <c r="E38" s="97"/>
      <c r="F38" s="97"/>
      <c r="G38" s="97"/>
      <c r="I38" s="97" t="s">
        <v>32</v>
      </c>
      <c r="J38" s="97"/>
      <c r="K38" s="97"/>
      <c r="L38" s="97"/>
      <c r="M38" s="97"/>
      <c r="N38" s="97"/>
      <c r="O38" s="97"/>
      <c r="P38" s="97"/>
      <c r="R38" s="97" t="s">
        <v>31</v>
      </c>
      <c r="S38" s="97"/>
      <c r="T38" s="97"/>
      <c r="U38" s="97"/>
      <c r="V38" s="97"/>
      <c r="W38" s="97"/>
      <c r="X38" s="97"/>
      <c r="Y38" s="97"/>
      <c r="AA38" s="97" t="s">
        <v>30</v>
      </c>
      <c r="AB38" s="97"/>
      <c r="AC38" s="97"/>
      <c r="AD38" s="97"/>
      <c r="AE38" s="97"/>
      <c r="AF38" s="97"/>
      <c r="AG38" s="97"/>
      <c r="AH38" s="97"/>
    </row>
    <row r="39" spans="1:34" x14ac:dyDescent="0.25">
      <c r="A39" s="21">
        <v>1</v>
      </c>
      <c r="B39" s="21">
        <v>0.96</v>
      </c>
      <c r="C39" s="21">
        <v>0.91</v>
      </c>
      <c r="D39" s="21">
        <v>0.98</v>
      </c>
      <c r="E39" s="21">
        <v>0.9</v>
      </c>
      <c r="F39" s="21">
        <v>0.97</v>
      </c>
      <c r="G39" s="21">
        <v>0.97</v>
      </c>
      <c r="I39" s="16">
        <v>0</v>
      </c>
      <c r="J39" s="16">
        <v>1</v>
      </c>
      <c r="K39" s="16">
        <v>0.6</v>
      </c>
      <c r="L39" s="16">
        <v>0.76</v>
      </c>
      <c r="M39" s="16">
        <v>0.51</v>
      </c>
      <c r="N39" s="16">
        <v>1</v>
      </c>
      <c r="O39" s="16">
        <v>1</v>
      </c>
      <c r="P39" s="16">
        <v>1</v>
      </c>
      <c r="R39" s="16">
        <v>0.05</v>
      </c>
      <c r="S39" s="16">
        <v>0.08</v>
      </c>
      <c r="T39" s="16">
        <v>0.25</v>
      </c>
      <c r="U39" s="16">
        <v>0.47</v>
      </c>
      <c r="V39" s="16">
        <v>0.35</v>
      </c>
      <c r="W39" s="16">
        <v>0.66</v>
      </c>
      <c r="X39" s="16">
        <v>0.19</v>
      </c>
      <c r="Y39" s="16">
        <v>0.19</v>
      </c>
      <c r="AA39" s="16">
        <v>0.03</v>
      </c>
      <c r="AB39" s="16">
        <v>0.09</v>
      </c>
      <c r="AC39" s="16">
        <v>0.21</v>
      </c>
      <c r="AD39" s="16">
        <v>0.22</v>
      </c>
      <c r="AE39" s="16">
        <v>0.28999999999999998</v>
      </c>
      <c r="AF39" s="16">
        <v>0.49</v>
      </c>
      <c r="AG39" s="16">
        <v>0.31</v>
      </c>
      <c r="AH39" s="16">
        <v>0.21</v>
      </c>
    </row>
    <row r="41" spans="1:34" x14ac:dyDescent="0.25">
      <c r="A41" s="28">
        <v>0</v>
      </c>
      <c r="B41" s="28">
        <v>0.36</v>
      </c>
      <c r="C41" s="28">
        <v>0.51</v>
      </c>
      <c r="D41" s="28">
        <v>0.17999999999999994</v>
      </c>
      <c r="E41" s="28">
        <v>0.4</v>
      </c>
      <c r="F41" s="28">
        <v>6.9999999999999951E-2</v>
      </c>
      <c r="G41" s="28">
        <v>0.16999999999999993</v>
      </c>
      <c r="I41" s="28">
        <v>1</v>
      </c>
      <c r="J41" s="28">
        <v>0</v>
      </c>
      <c r="K41" s="28">
        <v>9.9999999999999978E-2</v>
      </c>
      <c r="L41" s="28">
        <v>0.16000000000000003</v>
      </c>
      <c r="M41" s="28">
        <v>0.49</v>
      </c>
      <c r="N41" s="28">
        <v>0</v>
      </c>
      <c r="O41" s="28">
        <v>0</v>
      </c>
      <c r="P41" s="28">
        <v>0</v>
      </c>
      <c r="R41">
        <v>0.05</v>
      </c>
      <c r="S41">
        <v>0.32</v>
      </c>
      <c r="T41">
        <v>0.25</v>
      </c>
      <c r="U41">
        <v>0.53</v>
      </c>
      <c r="V41">
        <v>0.65</v>
      </c>
      <c r="W41">
        <v>0.33999999999999997</v>
      </c>
      <c r="X41">
        <v>0.81</v>
      </c>
      <c r="Y41">
        <v>0.81</v>
      </c>
      <c r="AA41">
        <v>0.03</v>
      </c>
      <c r="AB41">
        <v>0.31000000000000005</v>
      </c>
      <c r="AC41">
        <v>0.49</v>
      </c>
      <c r="AD41">
        <v>0.48</v>
      </c>
      <c r="AE41">
        <v>0.51</v>
      </c>
      <c r="AF41">
        <v>0.51</v>
      </c>
      <c r="AG41">
        <v>0.69</v>
      </c>
      <c r="AH41">
        <v>0.79</v>
      </c>
    </row>
    <row r="42" spans="1:34" x14ac:dyDescent="0.25">
      <c r="A42" s="28">
        <v>0</v>
      </c>
      <c r="B42" s="28">
        <v>0.86</v>
      </c>
      <c r="C42" s="28">
        <v>0.91</v>
      </c>
      <c r="D42" s="28">
        <v>2.0000000000000018E-2</v>
      </c>
      <c r="E42" s="28">
        <v>9.9999999999999978E-2</v>
      </c>
      <c r="F42" s="28">
        <v>3.0000000000000027E-2</v>
      </c>
      <c r="G42" s="28">
        <v>3.0000000000000027E-2</v>
      </c>
      <c r="I42" s="28">
        <v>0.1</v>
      </c>
      <c r="J42" s="33">
        <v>0.5</v>
      </c>
      <c r="K42" s="28">
        <v>0.5</v>
      </c>
      <c r="L42" s="28">
        <v>0.66</v>
      </c>
      <c r="M42" s="28">
        <v>0.49</v>
      </c>
      <c r="N42" s="28">
        <v>0</v>
      </c>
      <c r="O42" s="28">
        <v>0.4</v>
      </c>
      <c r="P42" s="28">
        <v>0</v>
      </c>
      <c r="R42">
        <v>0.05</v>
      </c>
      <c r="S42">
        <v>0.42</v>
      </c>
      <c r="T42">
        <v>0.35</v>
      </c>
      <c r="U42">
        <v>0.53</v>
      </c>
      <c r="V42">
        <v>0.25</v>
      </c>
      <c r="W42">
        <v>0.33999999999999997</v>
      </c>
      <c r="X42">
        <v>0.81</v>
      </c>
      <c r="Y42">
        <v>0.41</v>
      </c>
      <c r="AA42">
        <v>0</v>
      </c>
      <c r="AB42">
        <v>0.41000000000000003</v>
      </c>
      <c r="AC42">
        <v>0.29000000000000004</v>
      </c>
      <c r="AD42">
        <v>0.28000000000000003</v>
      </c>
      <c r="AE42">
        <v>0.71</v>
      </c>
      <c r="AF42">
        <v>0.10999999999999999</v>
      </c>
      <c r="AG42">
        <v>0.19</v>
      </c>
      <c r="AH42">
        <v>0.29000000000000004</v>
      </c>
    </row>
    <row r="43" spans="1:34" x14ac:dyDescent="0.25">
      <c r="A43" s="28">
        <v>0</v>
      </c>
      <c r="B43" s="28">
        <v>5.9999999999999942E-2</v>
      </c>
      <c r="C43" s="28">
        <v>0.6100000000000001</v>
      </c>
      <c r="D43" s="28">
        <v>2.0000000000000018E-2</v>
      </c>
      <c r="E43" s="28">
        <v>0.20000000000000007</v>
      </c>
      <c r="F43" s="28">
        <v>3.0000000000000027E-2</v>
      </c>
      <c r="G43" s="28">
        <v>3.0000000000000027E-2</v>
      </c>
      <c r="I43" s="28">
        <v>0.6</v>
      </c>
      <c r="J43" s="28">
        <v>9.9999999999999978E-2</v>
      </c>
      <c r="K43" s="28">
        <v>0.3</v>
      </c>
      <c r="L43" s="28">
        <v>0.46</v>
      </c>
      <c r="M43" s="28">
        <v>0.49</v>
      </c>
      <c r="N43" s="28">
        <v>0</v>
      </c>
      <c r="O43" s="28">
        <v>0</v>
      </c>
      <c r="P43" s="28">
        <v>0</v>
      </c>
      <c r="R43">
        <v>0.05</v>
      </c>
      <c r="S43">
        <v>2.0000000000000004E-2</v>
      </c>
      <c r="T43">
        <v>4.9999999999999989E-2</v>
      </c>
      <c r="U43">
        <v>0.13</v>
      </c>
      <c r="V43">
        <v>0.35</v>
      </c>
      <c r="W43">
        <v>0.24</v>
      </c>
      <c r="X43">
        <v>0.41</v>
      </c>
      <c r="Y43">
        <v>0.41</v>
      </c>
      <c r="AA43">
        <v>0</v>
      </c>
      <c r="AB43">
        <v>0.11000000000000001</v>
      </c>
      <c r="AC43">
        <v>0.09</v>
      </c>
      <c r="AD43">
        <v>0.18000000000000002</v>
      </c>
      <c r="AE43">
        <v>0.41</v>
      </c>
      <c r="AF43">
        <v>0.41000000000000003</v>
      </c>
      <c r="AG43">
        <v>0.28999999999999998</v>
      </c>
      <c r="AH43">
        <v>0.49</v>
      </c>
    </row>
    <row r="44" spans="1:34" x14ac:dyDescent="0.25">
      <c r="A44" s="28">
        <v>0</v>
      </c>
      <c r="B44" s="28">
        <v>0.15999999999999992</v>
      </c>
      <c r="C44" s="28">
        <v>0.21000000000000008</v>
      </c>
      <c r="D44" s="28">
        <v>0.17999999999999994</v>
      </c>
      <c r="E44" s="28">
        <v>0.20000000000000007</v>
      </c>
      <c r="F44" s="28">
        <v>6.9999999999999951E-2</v>
      </c>
      <c r="G44" s="28">
        <v>3.0000000000000027E-2</v>
      </c>
      <c r="I44" s="28">
        <v>0.7</v>
      </c>
      <c r="J44" s="28">
        <v>0</v>
      </c>
      <c r="K44" s="28">
        <v>0</v>
      </c>
      <c r="L44" s="28">
        <v>0.14000000000000001</v>
      </c>
      <c r="M44" s="28">
        <v>0.29000000000000004</v>
      </c>
      <c r="N44" s="28">
        <v>0.30000000000000004</v>
      </c>
      <c r="O44" s="28">
        <v>0</v>
      </c>
      <c r="P44" s="28">
        <v>0</v>
      </c>
      <c r="R44">
        <v>0.05</v>
      </c>
      <c r="S44">
        <v>0.12000000000000001</v>
      </c>
      <c r="T44">
        <v>4.9999999999999989E-2</v>
      </c>
      <c r="U44">
        <v>0.43000000000000005</v>
      </c>
      <c r="V44">
        <v>0.35</v>
      </c>
      <c r="W44">
        <v>0.16000000000000003</v>
      </c>
      <c r="X44">
        <v>1.0000000000000009E-2</v>
      </c>
      <c r="Y44">
        <v>0.09</v>
      </c>
      <c r="AA44">
        <v>0.1</v>
      </c>
      <c r="AB44">
        <v>0.31000000000000005</v>
      </c>
      <c r="AC44">
        <v>0.69000000000000006</v>
      </c>
      <c r="AD44">
        <v>0.78</v>
      </c>
      <c r="AE44">
        <v>0.41</v>
      </c>
      <c r="AF44">
        <v>0.41000000000000003</v>
      </c>
      <c r="AG44">
        <v>0.28999999999999998</v>
      </c>
      <c r="AH44">
        <v>9.9999999999999811E-3</v>
      </c>
    </row>
    <row r="45" spans="1:34" x14ac:dyDescent="0.25">
      <c r="A45" s="28">
        <v>0</v>
      </c>
      <c r="B45" s="28">
        <v>5.9999999999999942E-2</v>
      </c>
      <c r="C45" s="28">
        <v>0.10999999999999999</v>
      </c>
      <c r="D45" s="28">
        <v>7.999999999999996E-2</v>
      </c>
      <c r="E45" s="28">
        <v>0.20000000000000007</v>
      </c>
      <c r="F45" s="28">
        <v>6.9999999999999951E-2</v>
      </c>
      <c r="G45" s="28">
        <v>3.0000000000000027E-2</v>
      </c>
      <c r="I45" s="28">
        <v>0.4</v>
      </c>
      <c r="J45" s="33">
        <v>0.4</v>
      </c>
      <c r="K45" s="28">
        <v>0</v>
      </c>
      <c r="L45" s="28">
        <v>6.0000000000000053E-2</v>
      </c>
      <c r="M45" s="28">
        <v>0.49</v>
      </c>
      <c r="N45" s="28">
        <v>0.4</v>
      </c>
      <c r="O45" s="28">
        <v>0</v>
      </c>
      <c r="P45" s="28">
        <v>0</v>
      </c>
      <c r="R45">
        <v>0.15000000000000002</v>
      </c>
      <c r="S45">
        <v>0.32</v>
      </c>
      <c r="T45">
        <v>0.65</v>
      </c>
      <c r="U45">
        <v>0.53</v>
      </c>
      <c r="V45">
        <v>5.0000000000000044E-2</v>
      </c>
      <c r="W45">
        <v>0.33999999999999997</v>
      </c>
      <c r="X45">
        <v>0.6100000000000001</v>
      </c>
      <c r="Y45">
        <v>0.41</v>
      </c>
      <c r="AA45">
        <v>0.1</v>
      </c>
      <c r="AB45">
        <v>0.51</v>
      </c>
      <c r="AC45">
        <v>0.59000000000000008</v>
      </c>
      <c r="AD45">
        <v>0.68</v>
      </c>
      <c r="AE45">
        <v>1.0000000000000009E-2</v>
      </c>
      <c r="AF45">
        <v>0.51</v>
      </c>
      <c r="AG45">
        <v>0.49000000000000005</v>
      </c>
      <c r="AH45">
        <v>0.39</v>
      </c>
    </row>
    <row r="46" spans="1:34" x14ac:dyDescent="0.25">
      <c r="A46" s="28">
        <v>0</v>
      </c>
      <c r="B46" s="28">
        <v>0.15999999999999992</v>
      </c>
      <c r="C46" s="28">
        <v>0.71</v>
      </c>
      <c r="D46" s="28">
        <v>7.999999999999996E-2</v>
      </c>
      <c r="E46" s="28">
        <v>9.9999999999999978E-2</v>
      </c>
      <c r="F46" s="28">
        <v>6.9999999999999951E-2</v>
      </c>
      <c r="G46" s="28">
        <v>3.0000000000000027E-2</v>
      </c>
      <c r="I46" s="28">
        <v>0</v>
      </c>
      <c r="J46" s="28">
        <v>0</v>
      </c>
      <c r="K46" s="28">
        <v>0.39999999999999997</v>
      </c>
      <c r="L46" s="28">
        <v>4.0000000000000036E-2</v>
      </c>
      <c r="M46" s="28">
        <v>0.39</v>
      </c>
      <c r="N46" s="28">
        <v>0</v>
      </c>
      <c r="O46" s="28">
        <v>0</v>
      </c>
      <c r="P46" s="28">
        <v>0</v>
      </c>
      <c r="R46">
        <v>0.05</v>
      </c>
      <c r="S46">
        <v>2.0000000000000004E-2</v>
      </c>
      <c r="T46">
        <v>0.25</v>
      </c>
      <c r="U46">
        <v>0.13</v>
      </c>
      <c r="V46">
        <v>0.35</v>
      </c>
      <c r="W46">
        <v>0.33999999999999997</v>
      </c>
      <c r="X46">
        <v>0.41</v>
      </c>
      <c r="Y46">
        <v>0.31</v>
      </c>
      <c r="AA46">
        <v>0.1</v>
      </c>
      <c r="AB46">
        <v>0.11000000000000001</v>
      </c>
      <c r="AC46">
        <v>0.09</v>
      </c>
      <c r="AD46">
        <v>0.28000000000000003</v>
      </c>
      <c r="AE46">
        <v>0.31</v>
      </c>
      <c r="AF46">
        <v>0.51</v>
      </c>
      <c r="AG46">
        <v>0.19</v>
      </c>
      <c r="AH46">
        <v>0.29000000000000004</v>
      </c>
    </row>
    <row r="47" spans="1:34" x14ac:dyDescent="0.25">
      <c r="A47" s="28">
        <v>0.30000000000000004</v>
      </c>
      <c r="B47" s="28">
        <v>0.26</v>
      </c>
      <c r="C47" s="28">
        <v>0.51</v>
      </c>
      <c r="D47" s="28">
        <v>0.28000000000000003</v>
      </c>
      <c r="E47" s="28">
        <v>0</v>
      </c>
      <c r="F47" s="28">
        <v>0.56999999999999995</v>
      </c>
      <c r="G47" s="28">
        <v>0.56999999999999995</v>
      </c>
      <c r="I47" s="28">
        <v>0.5</v>
      </c>
      <c r="J47" s="33">
        <v>0.4</v>
      </c>
      <c r="K47" s="28">
        <v>0.39999999999999997</v>
      </c>
      <c r="L47" s="28">
        <v>0.36</v>
      </c>
      <c r="M47" s="28">
        <v>0.18999999999999995</v>
      </c>
      <c r="N47" s="28">
        <v>0.19999999999999996</v>
      </c>
      <c r="O47" s="33">
        <v>0.7</v>
      </c>
      <c r="P47" s="33">
        <v>0.7</v>
      </c>
      <c r="R47">
        <v>0.05</v>
      </c>
      <c r="S47">
        <v>0.52</v>
      </c>
      <c r="T47">
        <v>0.44999999999999996</v>
      </c>
      <c r="U47">
        <v>0.43000000000000005</v>
      </c>
      <c r="V47">
        <v>0.45000000000000007</v>
      </c>
      <c r="W47">
        <v>0.33999999999999997</v>
      </c>
      <c r="X47">
        <v>0.41</v>
      </c>
      <c r="Y47">
        <v>0.21000000000000002</v>
      </c>
      <c r="AA47">
        <v>0.19999999999999998</v>
      </c>
      <c r="AB47">
        <v>0.41000000000000003</v>
      </c>
      <c r="AC47">
        <v>0.59000000000000008</v>
      </c>
      <c r="AD47">
        <v>0.38</v>
      </c>
      <c r="AE47">
        <v>0.6100000000000001</v>
      </c>
      <c r="AF47">
        <v>0.20999999999999996</v>
      </c>
      <c r="AG47">
        <v>1.0000000000000009E-2</v>
      </c>
      <c r="AH47">
        <v>0.09</v>
      </c>
    </row>
    <row r="48" spans="1:34" x14ac:dyDescent="0.25">
      <c r="A48" s="29">
        <v>0</v>
      </c>
      <c r="B48" s="29">
        <v>5.9999999999999942E-2</v>
      </c>
      <c r="C48" s="29">
        <v>0.41000000000000003</v>
      </c>
      <c r="D48" s="29">
        <v>2.0000000000000018E-2</v>
      </c>
      <c r="E48" s="29">
        <v>0</v>
      </c>
      <c r="F48" s="29">
        <v>3.0000000000000027E-2</v>
      </c>
      <c r="G48" s="29">
        <v>3.0000000000000027E-2</v>
      </c>
      <c r="I48" s="29">
        <v>0.4</v>
      </c>
      <c r="J48" s="29">
        <v>0.19999999999999996</v>
      </c>
      <c r="K48" s="29">
        <v>0</v>
      </c>
      <c r="L48" s="29">
        <v>6.0000000000000053E-2</v>
      </c>
      <c r="M48" s="29">
        <v>0.39</v>
      </c>
      <c r="N48" s="29">
        <v>0</v>
      </c>
      <c r="O48" s="29">
        <v>0.19999999999999996</v>
      </c>
      <c r="P48" s="29">
        <v>0.19999999999999996</v>
      </c>
      <c r="R48">
        <v>0.05</v>
      </c>
      <c r="S48">
        <v>0.21999999999999997</v>
      </c>
      <c r="T48">
        <v>0.44999999999999996</v>
      </c>
      <c r="U48">
        <v>0.43000000000000005</v>
      </c>
      <c r="V48">
        <v>0.55000000000000004</v>
      </c>
      <c r="W48">
        <v>0.33999999999999997</v>
      </c>
      <c r="X48">
        <v>0.41</v>
      </c>
      <c r="Y48">
        <v>0.51</v>
      </c>
      <c r="AA48">
        <v>0.2</v>
      </c>
      <c r="AB48">
        <v>0.51</v>
      </c>
      <c r="AC48">
        <v>0.59000000000000008</v>
      </c>
      <c r="AD48">
        <v>0.78</v>
      </c>
      <c r="AE48">
        <v>0.51</v>
      </c>
      <c r="AF48">
        <v>0.51</v>
      </c>
      <c r="AG48">
        <v>0.28999999999999998</v>
      </c>
      <c r="AH48">
        <v>0.39</v>
      </c>
    </row>
    <row r="49" spans="1:34" x14ac:dyDescent="0.25">
      <c r="A49" s="30">
        <v>0</v>
      </c>
      <c r="B49" s="30">
        <v>0.15999999999999992</v>
      </c>
      <c r="C49" s="30">
        <v>0.91</v>
      </c>
      <c r="D49" s="30">
        <v>2.0000000000000018E-2</v>
      </c>
      <c r="E49" s="30">
        <v>9.9999999999999978E-2</v>
      </c>
      <c r="F49" s="30">
        <v>3.0000000000000027E-2</v>
      </c>
      <c r="G49" s="30">
        <v>3.0000000000000027E-2</v>
      </c>
      <c r="I49" s="30">
        <v>0.5</v>
      </c>
      <c r="J49" s="30">
        <v>9.9999999999999978E-2</v>
      </c>
      <c r="K49" s="30">
        <v>0.19999999999999996</v>
      </c>
      <c r="L49" s="30">
        <v>0.36</v>
      </c>
      <c r="M49" s="30">
        <v>0.49</v>
      </c>
      <c r="N49" s="30">
        <v>0</v>
      </c>
      <c r="O49" s="30">
        <v>0.19999999999999996</v>
      </c>
      <c r="P49" s="30">
        <v>0.19999999999999996</v>
      </c>
      <c r="R49">
        <v>0.95</v>
      </c>
      <c r="S49">
        <v>0.42</v>
      </c>
      <c r="T49">
        <v>0.55000000000000004</v>
      </c>
      <c r="U49">
        <v>0.43000000000000005</v>
      </c>
      <c r="V49">
        <v>0.55000000000000004</v>
      </c>
      <c r="W49">
        <v>0.33999999999999997</v>
      </c>
      <c r="X49">
        <v>0.51</v>
      </c>
      <c r="Y49">
        <v>0.31</v>
      </c>
      <c r="AA49">
        <v>0.19999999999999998</v>
      </c>
      <c r="AB49">
        <v>0.21</v>
      </c>
      <c r="AC49">
        <v>0.29000000000000004</v>
      </c>
      <c r="AD49">
        <v>0.48</v>
      </c>
      <c r="AE49">
        <v>0.51</v>
      </c>
      <c r="AF49">
        <v>0.51</v>
      </c>
      <c r="AG49">
        <v>0.19</v>
      </c>
      <c r="AH49">
        <v>0.09</v>
      </c>
    </row>
    <row r="50" spans="1:34" x14ac:dyDescent="0.25">
      <c r="A50" s="31">
        <v>0.6</v>
      </c>
      <c r="B50" s="32">
        <v>0.76</v>
      </c>
      <c r="C50" s="32">
        <v>0.81</v>
      </c>
      <c r="D50" s="29">
        <v>0.57999999999999996</v>
      </c>
      <c r="E50" s="29">
        <v>0.60000000000000009</v>
      </c>
      <c r="F50" s="29">
        <v>0.56999999999999995</v>
      </c>
      <c r="G50" s="29">
        <v>0.56999999999999995</v>
      </c>
      <c r="I50" s="29">
        <v>0</v>
      </c>
      <c r="J50" s="31">
        <v>0.6</v>
      </c>
      <c r="K50" s="29">
        <v>0.6</v>
      </c>
      <c r="L50" s="29">
        <v>0.76</v>
      </c>
      <c r="M50" s="29">
        <v>0.10999999999999999</v>
      </c>
      <c r="N50" s="29">
        <v>0.6</v>
      </c>
      <c r="O50" s="31">
        <v>0.7</v>
      </c>
      <c r="P50" s="31">
        <v>0.8</v>
      </c>
      <c r="R50">
        <v>0.05</v>
      </c>
      <c r="S50">
        <v>2.0000000000000004E-2</v>
      </c>
      <c r="T50">
        <v>0.15</v>
      </c>
      <c r="U50">
        <v>6.9999999999999951E-2</v>
      </c>
      <c r="V50">
        <v>5.0000000000000044E-2</v>
      </c>
      <c r="W50">
        <v>0.26</v>
      </c>
      <c r="X50">
        <v>1.0000000000000009E-2</v>
      </c>
      <c r="Y50">
        <v>1.0000000000000009E-2</v>
      </c>
      <c r="AA50">
        <v>0.2</v>
      </c>
      <c r="AB50">
        <v>1.0000000000000009E-2</v>
      </c>
      <c r="AC50">
        <v>0.10999999999999999</v>
      </c>
      <c r="AD50">
        <v>1.999999999999999E-2</v>
      </c>
      <c r="AE50">
        <v>0.18999999999999997</v>
      </c>
      <c r="AF50">
        <v>0.28999999999999998</v>
      </c>
      <c r="AG50">
        <v>0.21</v>
      </c>
      <c r="AH50">
        <v>0.10999999999999999</v>
      </c>
    </row>
    <row r="51" spans="1:34" x14ac:dyDescent="0.25">
      <c r="A51" s="30">
        <v>0</v>
      </c>
      <c r="B51" s="30">
        <v>0.15999999999999992</v>
      </c>
      <c r="C51" s="30">
        <v>0.51</v>
      </c>
      <c r="D51" s="30">
        <v>2.0000000000000018E-2</v>
      </c>
      <c r="E51" s="30">
        <v>0.20000000000000007</v>
      </c>
      <c r="F51" s="30">
        <v>3.0000000000000027E-2</v>
      </c>
      <c r="G51" s="30">
        <v>3.0000000000000027E-2</v>
      </c>
      <c r="I51" s="30">
        <v>0.4</v>
      </c>
      <c r="J51" s="30">
        <v>0</v>
      </c>
      <c r="K51" s="30">
        <v>9.9999999999999978E-2</v>
      </c>
      <c r="L51" s="30">
        <v>0.14000000000000001</v>
      </c>
      <c r="M51" s="30">
        <v>0.29000000000000004</v>
      </c>
      <c r="N51" s="30">
        <v>0</v>
      </c>
      <c r="O51" s="30">
        <v>0</v>
      </c>
      <c r="P51" s="30">
        <v>0</v>
      </c>
      <c r="R51">
        <v>0.05</v>
      </c>
      <c r="S51">
        <v>0.12000000000000001</v>
      </c>
      <c r="T51">
        <v>0.15000000000000002</v>
      </c>
      <c r="U51">
        <v>0.33000000000000007</v>
      </c>
      <c r="V51">
        <v>0.35</v>
      </c>
      <c r="W51">
        <v>0.33999999999999997</v>
      </c>
      <c r="X51">
        <v>0.41</v>
      </c>
      <c r="Y51">
        <v>0.31</v>
      </c>
      <c r="AA51">
        <v>0.1</v>
      </c>
      <c r="AB51">
        <v>0.21</v>
      </c>
      <c r="AC51">
        <v>0.29000000000000004</v>
      </c>
      <c r="AD51">
        <v>0.58000000000000007</v>
      </c>
      <c r="AE51">
        <v>0.41</v>
      </c>
      <c r="AF51">
        <v>0.51</v>
      </c>
      <c r="AG51">
        <v>0.28999999999999998</v>
      </c>
      <c r="AH51">
        <v>0.39</v>
      </c>
    </row>
    <row r="52" spans="1:34" x14ac:dyDescent="0.25">
      <c r="A52" s="29">
        <v>0</v>
      </c>
      <c r="B52" s="29">
        <v>4.0000000000000036E-2</v>
      </c>
      <c r="C52" s="29">
        <v>0.91</v>
      </c>
      <c r="D52" s="29">
        <v>2.0000000000000018E-2</v>
      </c>
      <c r="E52" s="29">
        <v>0</v>
      </c>
      <c r="F52" s="29">
        <v>3.0000000000000027E-2</v>
      </c>
      <c r="G52" s="29">
        <v>3.0000000000000027E-2</v>
      </c>
      <c r="I52" s="29">
        <v>0</v>
      </c>
      <c r="J52" s="29">
        <v>0</v>
      </c>
      <c r="K52" s="29">
        <v>0.19999999999999996</v>
      </c>
      <c r="L52" s="29">
        <v>0.66</v>
      </c>
      <c r="M52" s="29">
        <v>0.29000000000000004</v>
      </c>
      <c r="N52" s="29">
        <v>9.9999999999999978E-2</v>
      </c>
      <c r="O52" s="29">
        <v>0</v>
      </c>
      <c r="P52" s="29">
        <v>0</v>
      </c>
      <c r="R52">
        <v>0.05</v>
      </c>
      <c r="S52">
        <v>0.12000000000000001</v>
      </c>
      <c r="T52">
        <v>0.15000000000000002</v>
      </c>
      <c r="U52">
        <v>0.13</v>
      </c>
      <c r="V52">
        <v>4.9999999999999989E-2</v>
      </c>
      <c r="W52">
        <v>0.26</v>
      </c>
      <c r="X52">
        <v>0.21000000000000002</v>
      </c>
      <c r="Y52">
        <v>0.21000000000000002</v>
      </c>
      <c r="AA52">
        <v>0</v>
      </c>
      <c r="AB52">
        <v>1.0000000000000009E-2</v>
      </c>
      <c r="AC52">
        <v>9.9999999999999811E-3</v>
      </c>
      <c r="AD52">
        <v>0.28000000000000003</v>
      </c>
      <c r="AE52">
        <v>8.9999999999999969E-2</v>
      </c>
      <c r="AF52">
        <v>0.10999999999999999</v>
      </c>
      <c r="AG52">
        <v>9.0000000000000024E-2</v>
      </c>
      <c r="AH52">
        <v>0.29000000000000004</v>
      </c>
    </row>
    <row r="53" spans="1:34" x14ac:dyDescent="0.25">
      <c r="A53" s="31">
        <v>0.7</v>
      </c>
      <c r="B53" s="31">
        <v>0.45999999999999996</v>
      </c>
      <c r="C53" s="31">
        <v>0.21000000000000008</v>
      </c>
      <c r="D53" s="30">
        <v>2.0000000000000018E-2</v>
      </c>
      <c r="E53" s="30">
        <v>9.9999999999999978E-2</v>
      </c>
      <c r="F53" s="30">
        <v>3.0000000000000027E-2</v>
      </c>
      <c r="G53" s="30">
        <v>3.0000000000000027E-2</v>
      </c>
      <c r="I53" s="30">
        <v>0</v>
      </c>
      <c r="J53" s="30">
        <v>0.19999999999999996</v>
      </c>
      <c r="K53" s="30">
        <v>9.9999999999999978E-2</v>
      </c>
      <c r="L53" s="30">
        <v>6.0000000000000053E-2</v>
      </c>
      <c r="M53" s="30">
        <v>0.18999999999999995</v>
      </c>
      <c r="N53" s="30">
        <v>0.19999999999999996</v>
      </c>
      <c r="O53" s="30">
        <v>9.9999999999999978E-2</v>
      </c>
      <c r="P53" s="30">
        <v>9.9999999999999978E-2</v>
      </c>
      <c r="R53">
        <v>0.05</v>
      </c>
      <c r="S53">
        <v>0.12000000000000001</v>
      </c>
      <c r="T53">
        <v>4.9999999999999989E-2</v>
      </c>
      <c r="U53">
        <v>3.0000000000000027E-2</v>
      </c>
      <c r="V53">
        <v>0.14999999999999997</v>
      </c>
      <c r="W53">
        <v>6.0000000000000053E-2</v>
      </c>
      <c r="X53">
        <v>0.31</v>
      </c>
      <c r="Y53">
        <v>0.31</v>
      </c>
      <c r="AA53">
        <v>0.1</v>
      </c>
      <c r="AB53">
        <v>0.11000000000000001</v>
      </c>
      <c r="AC53">
        <v>0.19000000000000003</v>
      </c>
      <c r="AD53">
        <v>0.28000000000000003</v>
      </c>
      <c r="AE53">
        <v>0.11000000000000004</v>
      </c>
      <c r="AF53">
        <v>0.20999999999999996</v>
      </c>
      <c r="AG53">
        <v>9.0000000000000024E-2</v>
      </c>
      <c r="AH53">
        <v>9.9999999999999811E-3</v>
      </c>
    </row>
    <row r="54" spans="1:34" x14ac:dyDescent="0.25">
      <c r="A54" s="29">
        <v>0</v>
      </c>
      <c r="B54" s="29">
        <v>0.15999999999999992</v>
      </c>
      <c r="C54" s="29">
        <v>0.6100000000000001</v>
      </c>
      <c r="D54" s="29">
        <v>2.0000000000000018E-2</v>
      </c>
      <c r="E54" s="29">
        <v>9.9999999999999978E-2</v>
      </c>
      <c r="F54" s="29">
        <v>3.0000000000000027E-2</v>
      </c>
      <c r="G54" s="29">
        <v>3.0000000000000027E-2</v>
      </c>
      <c r="I54" s="29">
        <v>0.4</v>
      </c>
      <c r="J54" s="29">
        <v>0.19999999999999996</v>
      </c>
      <c r="K54" s="29">
        <v>0</v>
      </c>
      <c r="L54" s="29">
        <v>6.0000000000000053E-2</v>
      </c>
      <c r="M54" s="29">
        <v>0.49</v>
      </c>
      <c r="N54" s="29">
        <v>0</v>
      </c>
      <c r="O54" s="29">
        <v>0</v>
      </c>
      <c r="P54" s="29">
        <v>0</v>
      </c>
      <c r="R54">
        <v>0.05</v>
      </c>
      <c r="S54">
        <v>0.21999999999999997</v>
      </c>
      <c r="T54">
        <v>0.35</v>
      </c>
      <c r="U54">
        <v>0.43000000000000005</v>
      </c>
      <c r="V54">
        <v>0.15000000000000002</v>
      </c>
      <c r="W54">
        <v>0.14000000000000001</v>
      </c>
      <c r="X54">
        <v>0.41</v>
      </c>
      <c r="Y54">
        <v>0.31</v>
      </c>
      <c r="AA54">
        <v>0</v>
      </c>
      <c r="AB54">
        <v>0.11000000000000001</v>
      </c>
      <c r="AC54">
        <v>0.19000000000000003</v>
      </c>
      <c r="AD54">
        <v>0.38</v>
      </c>
      <c r="AE54">
        <v>0.41</v>
      </c>
      <c r="AF54">
        <v>0.41000000000000003</v>
      </c>
      <c r="AG54">
        <v>0.28999999999999998</v>
      </c>
      <c r="AH54">
        <v>0.29000000000000004</v>
      </c>
    </row>
    <row r="55" spans="1:34" x14ac:dyDescent="0.25">
      <c r="A55" s="30">
        <v>0</v>
      </c>
      <c r="B55" s="30">
        <v>4.0000000000000036E-2</v>
      </c>
      <c r="C55" s="30">
        <v>0.91</v>
      </c>
      <c r="D55" s="30">
        <v>2.0000000000000018E-2</v>
      </c>
      <c r="E55" s="30">
        <v>0</v>
      </c>
      <c r="F55" s="30">
        <v>6.9999999999999951E-2</v>
      </c>
      <c r="G55" s="30">
        <v>3.0000000000000027E-2</v>
      </c>
      <c r="I55" s="30">
        <v>0.3</v>
      </c>
      <c r="J55" s="30">
        <v>0</v>
      </c>
      <c r="K55" s="30">
        <v>0.3</v>
      </c>
      <c r="L55" s="30">
        <v>6.0000000000000053E-2</v>
      </c>
      <c r="M55" s="30">
        <v>0.49</v>
      </c>
      <c r="N55" s="30">
        <v>0.30000000000000004</v>
      </c>
      <c r="O55" s="30">
        <v>0</v>
      </c>
      <c r="P55" s="30">
        <v>0</v>
      </c>
      <c r="R55">
        <v>0.15000000000000002</v>
      </c>
      <c r="S55">
        <v>0.32</v>
      </c>
      <c r="T55">
        <v>0.25</v>
      </c>
      <c r="U55">
        <v>0.43000000000000005</v>
      </c>
      <c r="V55">
        <v>4.9999999999999989E-2</v>
      </c>
      <c r="W55">
        <v>0.14000000000000001</v>
      </c>
      <c r="X55">
        <v>0.41</v>
      </c>
      <c r="Y55">
        <v>0.10999999999999999</v>
      </c>
      <c r="AA55">
        <v>0.1</v>
      </c>
      <c r="AB55">
        <v>1.0000000000000009E-2</v>
      </c>
      <c r="AC55">
        <v>0.09</v>
      </c>
      <c r="AD55">
        <v>0.28000000000000003</v>
      </c>
      <c r="AE55">
        <v>1.0000000000000009E-2</v>
      </c>
      <c r="AF55">
        <v>0.41000000000000003</v>
      </c>
      <c r="AG55">
        <v>0.10999999999999999</v>
      </c>
      <c r="AH55">
        <v>0.21</v>
      </c>
    </row>
    <row r="56" spans="1:34" x14ac:dyDescent="0.25">
      <c r="A56" s="29">
        <v>0</v>
      </c>
      <c r="B56" s="29">
        <v>5.9999999999999942E-2</v>
      </c>
      <c r="C56" s="29">
        <v>0.41000000000000003</v>
      </c>
      <c r="D56" s="29">
        <v>7.999999999999996E-2</v>
      </c>
      <c r="E56" s="29">
        <v>0</v>
      </c>
      <c r="F56" s="29">
        <v>3.0000000000000027E-2</v>
      </c>
      <c r="G56" s="29">
        <v>3.0000000000000027E-2</v>
      </c>
      <c r="I56" s="29">
        <v>0.6</v>
      </c>
      <c r="J56" s="29">
        <v>0.19999999999999996</v>
      </c>
      <c r="K56" s="29">
        <v>9.9999999999999978E-2</v>
      </c>
      <c r="L56" s="29">
        <v>4.0000000000000036E-2</v>
      </c>
      <c r="M56" s="29">
        <v>8.9999999999999969E-2</v>
      </c>
      <c r="N56" s="29">
        <v>9.9999999999999978E-2</v>
      </c>
      <c r="O56" s="31">
        <v>0.30000000000000004</v>
      </c>
      <c r="P56" s="31">
        <v>0.19999999999999996</v>
      </c>
      <c r="R56">
        <v>0.05</v>
      </c>
      <c r="S56">
        <v>0.12000000000000001</v>
      </c>
      <c r="T56">
        <v>0.25</v>
      </c>
      <c r="U56">
        <v>0.33000000000000007</v>
      </c>
      <c r="V56">
        <v>0.14999999999999997</v>
      </c>
      <c r="W56">
        <v>0.24</v>
      </c>
      <c r="X56">
        <v>0.09</v>
      </c>
      <c r="Y56">
        <v>0.09</v>
      </c>
      <c r="AA56">
        <v>0</v>
      </c>
      <c r="AB56">
        <v>1.0000000000000009E-2</v>
      </c>
      <c r="AC56">
        <v>0.09</v>
      </c>
      <c r="AD56">
        <v>0.28000000000000003</v>
      </c>
      <c r="AE56">
        <v>0.18999999999999997</v>
      </c>
      <c r="AF56">
        <v>0.41000000000000003</v>
      </c>
      <c r="AG56">
        <v>1.0000000000000009E-2</v>
      </c>
      <c r="AH56">
        <v>0.29000000000000004</v>
      </c>
    </row>
    <row r="57" spans="1:34" x14ac:dyDescent="0.25">
      <c r="A57" s="30">
        <v>0</v>
      </c>
      <c r="B57" s="30">
        <v>4.0000000000000036E-2</v>
      </c>
      <c r="C57" s="30">
        <v>0.91</v>
      </c>
      <c r="D57" s="30">
        <v>7.999999999999996E-2</v>
      </c>
      <c r="E57" s="30">
        <v>9.9999999999999978E-2</v>
      </c>
      <c r="F57" s="30">
        <v>3.0000000000000027E-2</v>
      </c>
      <c r="G57" s="30">
        <v>3.0000000000000027E-2</v>
      </c>
      <c r="I57" s="30">
        <v>0</v>
      </c>
      <c r="J57" s="30">
        <v>0</v>
      </c>
      <c r="K57" s="30">
        <v>0.6</v>
      </c>
      <c r="L57" s="30">
        <v>0.16000000000000003</v>
      </c>
      <c r="M57" s="30">
        <v>0.49</v>
      </c>
      <c r="N57" s="30">
        <v>0</v>
      </c>
      <c r="O57" s="30">
        <v>0</v>
      </c>
      <c r="P57" s="30">
        <v>0</v>
      </c>
      <c r="R57">
        <v>0.05</v>
      </c>
      <c r="S57">
        <v>2.0000000000000004E-2</v>
      </c>
      <c r="T57">
        <v>4.9999999999999989E-2</v>
      </c>
      <c r="U57">
        <v>0.13</v>
      </c>
      <c r="V57">
        <v>4.9999999999999989E-2</v>
      </c>
      <c r="W57">
        <v>3.9999999999999925E-2</v>
      </c>
      <c r="X57">
        <v>0.09</v>
      </c>
      <c r="Y57">
        <v>0.19</v>
      </c>
      <c r="AA57">
        <v>0</v>
      </c>
      <c r="AB57">
        <v>1.0000000000000009E-2</v>
      </c>
      <c r="AC57">
        <v>0.10999999999999999</v>
      </c>
      <c r="AD57">
        <v>1.999999999999999E-2</v>
      </c>
      <c r="AE57">
        <v>0.18999999999999997</v>
      </c>
      <c r="AF57">
        <v>1.0000000000000009E-2</v>
      </c>
      <c r="AG57">
        <v>0.21</v>
      </c>
      <c r="AH57">
        <v>0.10999999999999999</v>
      </c>
    </row>
    <row r="58" spans="1:34" x14ac:dyDescent="0.25">
      <c r="A58" s="30">
        <v>0</v>
      </c>
      <c r="B58" s="30">
        <v>5.9999999999999942E-2</v>
      </c>
      <c r="C58" s="30">
        <v>0.81</v>
      </c>
      <c r="D58" s="30">
        <v>2.0000000000000018E-2</v>
      </c>
      <c r="E58" s="30">
        <v>0</v>
      </c>
      <c r="F58" s="30">
        <v>3.0000000000000027E-2</v>
      </c>
      <c r="G58" s="30">
        <v>3.0000000000000027E-2</v>
      </c>
      <c r="I58" s="30">
        <v>0.3</v>
      </c>
      <c r="J58" s="31">
        <v>0.8</v>
      </c>
      <c r="K58" s="30">
        <v>0.39999999999999997</v>
      </c>
      <c r="L58" s="30">
        <v>0.66</v>
      </c>
      <c r="M58" s="30">
        <v>8.9999999999999969E-2</v>
      </c>
      <c r="N58" s="30">
        <v>0</v>
      </c>
      <c r="O58" s="30">
        <v>9.9999999999999978E-2</v>
      </c>
      <c r="P58" s="30">
        <v>9.9999999999999978E-2</v>
      </c>
      <c r="R58">
        <v>0.05</v>
      </c>
      <c r="S58">
        <v>2.0000000000000004E-2</v>
      </c>
      <c r="T58">
        <v>4.9999999999999989E-2</v>
      </c>
      <c r="U58">
        <v>0.13</v>
      </c>
      <c r="V58">
        <v>0.14999999999999997</v>
      </c>
      <c r="W58">
        <v>0.14000000000000001</v>
      </c>
      <c r="X58">
        <v>0.51</v>
      </c>
      <c r="Y58">
        <v>1.0000000000000009E-2</v>
      </c>
      <c r="AA58">
        <v>0</v>
      </c>
      <c r="AB58">
        <v>0.11000000000000001</v>
      </c>
      <c r="AC58">
        <v>0.09</v>
      </c>
      <c r="AD58">
        <v>0.28000000000000003</v>
      </c>
      <c r="AE58">
        <v>1.0000000000000009E-2</v>
      </c>
      <c r="AF58">
        <v>0.10999999999999999</v>
      </c>
      <c r="AG58">
        <v>9.0000000000000024E-2</v>
      </c>
      <c r="AH58">
        <v>0.09</v>
      </c>
    </row>
    <row r="59" spans="1:34" x14ac:dyDescent="0.25">
      <c r="A59" s="31">
        <v>0.7</v>
      </c>
      <c r="B59" s="31">
        <v>0.15999999999999992</v>
      </c>
      <c r="C59" s="31">
        <v>8.9999999999999969E-2</v>
      </c>
      <c r="D59" s="29">
        <v>0.17999999999999994</v>
      </c>
      <c r="E59" s="29">
        <v>0</v>
      </c>
      <c r="F59" s="29">
        <v>3.0000000000000027E-2</v>
      </c>
      <c r="G59" s="29">
        <v>3.0000000000000027E-2</v>
      </c>
      <c r="I59" s="29">
        <v>0.2</v>
      </c>
      <c r="J59" s="29">
        <v>0</v>
      </c>
      <c r="K59" s="29">
        <v>0</v>
      </c>
      <c r="L59" s="29">
        <v>6.0000000000000053E-2</v>
      </c>
      <c r="M59" s="29">
        <v>0.49</v>
      </c>
      <c r="N59" s="29">
        <v>0</v>
      </c>
      <c r="O59" s="29">
        <v>0</v>
      </c>
      <c r="P59" s="29">
        <v>0</v>
      </c>
      <c r="R59">
        <v>0.05</v>
      </c>
      <c r="S59">
        <v>2.0000000000000004E-2</v>
      </c>
      <c r="T59">
        <v>0.15000000000000002</v>
      </c>
      <c r="U59">
        <v>0.13</v>
      </c>
      <c r="V59">
        <v>4.9999999999999989E-2</v>
      </c>
      <c r="W59">
        <v>0.16000000000000003</v>
      </c>
      <c r="X59">
        <v>0.21000000000000002</v>
      </c>
      <c r="Y59">
        <v>0.10999999999999999</v>
      </c>
      <c r="AA59">
        <v>0.1</v>
      </c>
      <c r="AB59">
        <v>0.21</v>
      </c>
      <c r="AC59">
        <v>0.19000000000000003</v>
      </c>
      <c r="AD59">
        <v>0.28000000000000003</v>
      </c>
      <c r="AE59">
        <v>1.0000000000000009E-2</v>
      </c>
      <c r="AF59">
        <v>0.20999999999999996</v>
      </c>
      <c r="AG59">
        <v>0.28999999999999998</v>
      </c>
      <c r="AH59">
        <v>0.29000000000000004</v>
      </c>
    </row>
    <row r="60" spans="1:34" x14ac:dyDescent="0.25">
      <c r="A60" s="30">
        <v>0</v>
      </c>
      <c r="B60" s="30">
        <v>0.26</v>
      </c>
      <c r="C60" s="30">
        <v>0.51</v>
      </c>
      <c r="D60" s="30">
        <v>2.0000000000000018E-2</v>
      </c>
      <c r="E60" s="30">
        <v>9.9999999999999978E-2</v>
      </c>
      <c r="F60" s="30">
        <v>3.0000000000000027E-2</v>
      </c>
      <c r="G60" s="30">
        <v>3.0000000000000027E-2</v>
      </c>
      <c r="I60" s="30">
        <v>0.2</v>
      </c>
      <c r="J60" s="30">
        <v>0</v>
      </c>
      <c r="K60" s="30">
        <v>9.9999999999999978E-2</v>
      </c>
      <c r="L60" s="30">
        <v>6.0000000000000053E-2</v>
      </c>
      <c r="M60" s="30">
        <v>0.49</v>
      </c>
      <c r="N60" s="30">
        <v>0</v>
      </c>
      <c r="O60" s="30">
        <v>0</v>
      </c>
      <c r="P60" s="30">
        <v>0</v>
      </c>
      <c r="R60">
        <v>0.15000000000000002</v>
      </c>
      <c r="S60">
        <v>0.21999999999999997</v>
      </c>
      <c r="T60">
        <v>0.44999999999999996</v>
      </c>
      <c r="U60">
        <v>0.53</v>
      </c>
      <c r="V60">
        <v>0.45000000000000007</v>
      </c>
      <c r="W60">
        <v>0.33999999999999997</v>
      </c>
      <c r="X60">
        <v>0.41</v>
      </c>
      <c r="Y60">
        <v>0.31</v>
      </c>
      <c r="AA60">
        <v>0</v>
      </c>
      <c r="AB60">
        <v>0.11000000000000001</v>
      </c>
      <c r="AC60">
        <v>0.09</v>
      </c>
      <c r="AD60">
        <v>0.18000000000000002</v>
      </c>
      <c r="AE60">
        <v>0.41</v>
      </c>
      <c r="AF60">
        <v>0.31000000000000005</v>
      </c>
      <c r="AG60">
        <v>0.28999999999999998</v>
      </c>
      <c r="AH60">
        <v>0.39</v>
      </c>
    </row>
    <row r="61" spans="1:34" x14ac:dyDescent="0.25">
      <c r="A61" s="29">
        <v>0</v>
      </c>
      <c r="B61" s="29">
        <v>4.0000000000000036E-2</v>
      </c>
      <c r="C61" s="29">
        <v>0.21000000000000008</v>
      </c>
      <c r="D61" s="29">
        <v>2.0000000000000018E-2</v>
      </c>
      <c r="E61" s="29">
        <v>0</v>
      </c>
      <c r="F61" s="29">
        <v>3.0000000000000027E-2</v>
      </c>
      <c r="G61" s="29">
        <v>3.0000000000000027E-2</v>
      </c>
      <c r="I61" s="29">
        <v>0</v>
      </c>
      <c r="J61" s="29">
        <v>0</v>
      </c>
      <c r="K61" s="29">
        <v>0.19999999999999996</v>
      </c>
      <c r="L61" s="29">
        <v>4.0000000000000036E-2</v>
      </c>
      <c r="M61" s="29">
        <v>0.49</v>
      </c>
      <c r="N61" s="29">
        <v>0</v>
      </c>
      <c r="O61" s="29">
        <v>0</v>
      </c>
      <c r="P61" s="29">
        <v>0</v>
      </c>
      <c r="R61">
        <v>0.05</v>
      </c>
      <c r="S61">
        <v>0.12000000000000001</v>
      </c>
      <c r="T61">
        <v>4.9999999999999989E-2</v>
      </c>
      <c r="U61">
        <v>0.13</v>
      </c>
      <c r="V61">
        <v>5.0000000000000044E-2</v>
      </c>
      <c r="W61">
        <v>6.0000000000000053E-2</v>
      </c>
      <c r="X61">
        <v>0.21000000000000002</v>
      </c>
      <c r="Y61">
        <v>0.10999999999999999</v>
      </c>
      <c r="AA61">
        <v>0</v>
      </c>
      <c r="AB61">
        <v>0.21</v>
      </c>
      <c r="AC61">
        <v>0.29000000000000004</v>
      </c>
      <c r="AD61">
        <v>0.48</v>
      </c>
      <c r="AE61">
        <v>0.41</v>
      </c>
      <c r="AF61">
        <v>0.31000000000000005</v>
      </c>
      <c r="AG61">
        <v>0.19</v>
      </c>
      <c r="AH61">
        <v>0.39</v>
      </c>
    </row>
    <row r="62" spans="1:34" x14ac:dyDescent="0.25">
      <c r="A62" s="30">
        <v>0</v>
      </c>
      <c r="B62" s="30">
        <v>5.9999999999999942E-2</v>
      </c>
      <c r="C62" s="30">
        <v>0.71</v>
      </c>
      <c r="D62" s="30">
        <v>2.0000000000000018E-2</v>
      </c>
      <c r="E62" s="30">
        <v>9.9999999999999978E-2</v>
      </c>
      <c r="F62" s="30">
        <v>3.0000000000000027E-2</v>
      </c>
      <c r="G62" s="30">
        <v>3.0000000000000027E-2</v>
      </c>
      <c r="I62" s="30">
        <v>0.2</v>
      </c>
      <c r="J62" s="30">
        <v>0</v>
      </c>
      <c r="K62" s="30">
        <v>0.3</v>
      </c>
      <c r="L62" s="30">
        <v>0.16000000000000003</v>
      </c>
      <c r="M62" s="30">
        <v>0.49</v>
      </c>
      <c r="N62" s="30">
        <v>0</v>
      </c>
      <c r="O62" s="30">
        <v>0</v>
      </c>
      <c r="P62" s="30">
        <v>0</v>
      </c>
      <c r="R62">
        <v>0.05</v>
      </c>
      <c r="S62">
        <v>2.0000000000000004E-2</v>
      </c>
      <c r="T62">
        <v>0.25</v>
      </c>
      <c r="U62">
        <v>0.22999999999999998</v>
      </c>
      <c r="V62">
        <v>4.9999999999999989E-2</v>
      </c>
      <c r="W62">
        <v>0.24</v>
      </c>
      <c r="X62">
        <v>1.0000000000000009E-2</v>
      </c>
      <c r="Y62">
        <v>0.09</v>
      </c>
      <c r="AA62">
        <v>0</v>
      </c>
      <c r="AB62">
        <v>1.0000000000000009E-2</v>
      </c>
      <c r="AC62">
        <v>9.9999999999999811E-3</v>
      </c>
      <c r="AD62">
        <v>7.9999999999999988E-2</v>
      </c>
      <c r="AE62">
        <v>0.18999999999999997</v>
      </c>
      <c r="AF62">
        <v>1.0000000000000009E-2</v>
      </c>
      <c r="AG62">
        <v>0.21</v>
      </c>
      <c r="AH62">
        <v>9.9999999999999811E-3</v>
      </c>
    </row>
    <row r="63" spans="1:34" x14ac:dyDescent="0.25">
      <c r="A63" s="31">
        <v>0.5</v>
      </c>
      <c r="B63" s="31">
        <v>5.9999999999999942E-2</v>
      </c>
      <c r="C63" s="31">
        <v>0.71</v>
      </c>
      <c r="D63" s="29">
        <v>0.17999999999999994</v>
      </c>
      <c r="E63" s="29">
        <v>0.30000000000000004</v>
      </c>
      <c r="F63" s="29">
        <v>0.66999999999999993</v>
      </c>
      <c r="G63" s="29">
        <v>0.66999999999999993</v>
      </c>
      <c r="I63" s="29">
        <v>0.1</v>
      </c>
      <c r="J63" s="31">
        <v>0.8</v>
      </c>
      <c r="K63" s="29">
        <v>0.6</v>
      </c>
      <c r="L63" s="29">
        <v>0.66</v>
      </c>
      <c r="M63" s="29">
        <v>0.39</v>
      </c>
      <c r="N63" s="29">
        <v>0.19999999999999996</v>
      </c>
      <c r="O63" s="31">
        <v>0.4</v>
      </c>
      <c r="P63" s="31">
        <v>0.4</v>
      </c>
      <c r="R63">
        <v>0.05</v>
      </c>
      <c r="S63">
        <v>2.0000000000000004E-2</v>
      </c>
      <c r="T63">
        <v>0.55000000000000004</v>
      </c>
      <c r="U63">
        <v>0.43000000000000005</v>
      </c>
      <c r="V63">
        <v>0.55000000000000004</v>
      </c>
      <c r="W63">
        <v>0.33999999999999997</v>
      </c>
      <c r="X63">
        <v>0.51</v>
      </c>
      <c r="Y63">
        <v>0.51</v>
      </c>
      <c r="AA63">
        <v>0.1</v>
      </c>
      <c r="AB63">
        <v>0.31000000000000005</v>
      </c>
      <c r="AC63">
        <v>0.59000000000000008</v>
      </c>
      <c r="AD63">
        <v>0.68</v>
      </c>
      <c r="AE63">
        <v>0.51</v>
      </c>
      <c r="AF63">
        <v>0.41000000000000003</v>
      </c>
      <c r="AG63">
        <v>0.28999999999999998</v>
      </c>
      <c r="AH63">
        <v>0.19000000000000003</v>
      </c>
    </row>
    <row r="64" spans="1:34" x14ac:dyDescent="0.25">
      <c r="A64" s="30">
        <v>0</v>
      </c>
      <c r="B64" s="30">
        <v>0.36</v>
      </c>
      <c r="C64" s="30">
        <v>0.81</v>
      </c>
      <c r="D64" s="30">
        <v>0.28000000000000003</v>
      </c>
      <c r="E64" s="30">
        <v>9.9999999999999978E-2</v>
      </c>
      <c r="F64" s="30">
        <v>0.27</v>
      </c>
      <c r="G64" s="30">
        <v>6.9999999999999951E-2</v>
      </c>
      <c r="I64" s="30">
        <v>0.1</v>
      </c>
      <c r="J64" s="31">
        <v>0.4</v>
      </c>
      <c r="K64" s="30">
        <v>0.3</v>
      </c>
      <c r="L64" s="30">
        <v>0.36</v>
      </c>
      <c r="M64" s="30">
        <v>0.18999999999999995</v>
      </c>
      <c r="N64" s="30">
        <v>9.9999999999999978E-2</v>
      </c>
      <c r="O64" s="31">
        <v>0.6</v>
      </c>
      <c r="P64" s="31">
        <v>0.5</v>
      </c>
      <c r="R64">
        <v>0.05</v>
      </c>
      <c r="S64">
        <v>0.12000000000000001</v>
      </c>
      <c r="T64">
        <v>0.15000000000000002</v>
      </c>
      <c r="U64">
        <v>0.33000000000000007</v>
      </c>
      <c r="V64">
        <v>0.15000000000000002</v>
      </c>
      <c r="W64">
        <v>0.14000000000000001</v>
      </c>
      <c r="X64">
        <v>1.0000000000000009E-2</v>
      </c>
      <c r="Y64">
        <v>0.10999999999999999</v>
      </c>
      <c r="AA64">
        <v>0</v>
      </c>
      <c r="AB64">
        <v>0.11000000000000001</v>
      </c>
      <c r="AC64">
        <v>0.19000000000000003</v>
      </c>
      <c r="AD64">
        <v>0.28000000000000003</v>
      </c>
      <c r="AE64">
        <v>0.31</v>
      </c>
      <c r="AF64">
        <v>0.31000000000000005</v>
      </c>
      <c r="AG64">
        <v>0.21</v>
      </c>
      <c r="AH64">
        <v>9.9999999999999811E-3</v>
      </c>
    </row>
    <row r="65" spans="1:34" x14ac:dyDescent="0.25">
      <c r="A65" s="29">
        <v>0</v>
      </c>
      <c r="B65" s="29">
        <v>4.0000000000000036E-2</v>
      </c>
      <c r="C65" s="29">
        <v>0.31000000000000005</v>
      </c>
      <c r="D65" s="29">
        <v>2.0000000000000018E-2</v>
      </c>
      <c r="E65" s="29">
        <v>9.9999999999999978E-2</v>
      </c>
      <c r="F65" s="29">
        <v>3.0000000000000027E-2</v>
      </c>
      <c r="G65" s="29">
        <v>3.0000000000000027E-2</v>
      </c>
      <c r="I65" s="29">
        <v>0.2</v>
      </c>
      <c r="J65" s="31">
        <v>0.30000000000000004</v>
      </c>
      <c r="K65" s="29">
        <v>9.9999999999999978E-2</v>
      </c>
      <c r="L65" s="29">
        <v>0.16000000000000003</v>
      </c>
      <c r="M65" s="29">
        <v>0.29000000000000004</v>
      </c>
      <c r="N65" s="29">
        <v>0</v>
      </c>
      <c r="O65" s="29">
        <v>9.9999999999999978E-2</v>
      </c>
      <c r="P65" s="29">
        <v>0.19999999999999996</v>
      </c>
      <c r="R65">
        <v>0.05</v>
      </c>
      <c r="S65">
        <v>0.32</v>
      </c>
      <c r="T65">
        <v>0.35</v>
      </c>
      <c r="U65">
        <v>0.53</v>
      </c>
      <c r="V65">
        <v>0.45000000000000007</v>
      </c>
      <c r="W65">
        <v>0.33999999999999997</v>
      </c>
      <c r="X65">
        <v>0.81</v>
      </c>
      <c r="Y65">
        <v>0.71</v>
      </c>
      <c r="AA65">
        <v>0</v>
      </c>
      <c r="AB65">
        <v>0.41000000000000003</v>
      </c>
      <c r="AC65">
        <v>0.49</v>
      </c>
      <c r="AD65">
        <v>1.999999999999999E-2</v>
      </c>
      <c r="AE65">
        <v>8.9999999999999969E-2</v>
      </c>
      <c r="AF65">
        <v>0.10999999999999999</v>
      </c>
      <c r="AG65">
        <v>1.0000000000000009E-2</v>
      </c>
      <c r="AH65">
        <v>0.19000000000000003</v>
      </c>
    </row>
    <row r="66" spans="1:34" x14ac:dyDescent="0.25">
      <c r="A66" s="30">
        <v>0.30000000000000004</v>
      </c>
      <c r="B66" s="30">
        <v>5.9999999999999942E-2</v>
      </c>
      <c r="C66" s="30">
        <v>0.41000000000000003</v>
      </c>
      <c r="D66" s="30">
        <v>0.38</v>
      </c>
      <c r="E66" s="30">
        <v>0</v>
      </c>
      <c r="F66" s="30">
        <v>0.47</v>
      </c>
      <c r="G66" s="30">
        <v>0.56999999999999995</v>
      </c>
      <c r="I66" s="30">
        <v>0.5</v>
      </c>
      <c r="J66" s="31">
        <v>0.30000000000000004</v>
      </c>
      <c r="K66" s="30">
        <v>0</v>
      </c>
      <c r="L66" s="30">
        <v>0.26</v>
      </c>
      <c r="M66" s="30">
        <v>0.18999999999999995</v>
      </c>
      <c r="N66" s="30">
        <v>9.9999999999999978E-2</v>
      </c>
      <c r="O66" s="31">
        <v>0.4</v>
      </c>
      <c r="P66" s="31">
        <v>0.5</v>
      </c>
      <c r="R66">
        <v>0.54999999999999993</v>
      </c>
      <c r="S66">
        <v>0.52</v>
      </c>
      <c r="T66">
        <v>0.55000000000000004</v>
      </c>
      <c r="U66">
        <v>0.43000000000000005</v>
      </c>
      <c r="V66">
        <v>0.45000000000000007</v>
      </c>
      <c r="W66">
        <v>0.24</v>
      </c>
      <c r="X66">
        <v>0.51</v>
      </c>
      <c r="Y66">
        <v>0.41</v>
      </c>
      <c r="AA66">
        <v>0.5</v>
      </c>
      <c r="AB66">
        <v>0.51</v>
      </c>
      <c r="AC66">
        <v>0.59000000000000008</v>
      </c>
      <c r="AD66">
        <v>0.68</v>
      </c>
      <c r="AE66">
        <v>0.51</v>
      </c>
      <c r="AF66">
        <v>0.41000000000000003</v>
      </c>
      <c r="AG66">
        <v>0.28999999999999998</v>
      </c>
      <c r="AH66">
        <v>0.39</v>
      </c>
    </row>
    <row r="67" spans="1:34" x14ac:dyDescent="0.25">
      <c r="A67" s="29">
        <v>0</v>
      </c>
      <c r="B67" s="29">
        <v>0.15999999999999992</v>
      </c>
      <c r="C67" s="29">
        <v>0.51</v>
      </c>
      <c r="D67" s="29">
        <v>7.999999999999996E-2</v>
      </c>
      <c r="E67" s="29">
        <v>0.20000000000000007</v>
      </c>
      <c r="F67" s="29">
        <v>0.16999999999999993</v>
      </c>
      <c r="G67" s="29">
        <v>3.0000000000000027E-2</v>
      </c>
      <c r="I67" s="29">
        <v>0.2</v>
      </c>
      <c r="J67" s="29">
        <v>0</v>
      </c>
      <c r="K67" s="29">
        <v>0.19999999999999996</v>
      </c>
      <c r="L67" s="29">
        <v>0.26</v>
      </c>
      <c r="M67" s="29">
        <v>0.49</v>
      </c>
      <c r="N67" s="29">
        <v>0</v>
      </c>
      <c r="O67" s="29">
        <v>0</v>
      </c>
      <c r="P67" s="29">
        <v>0</v>
      </c>
      <c r="R67">
        <v>0.05</v>
      </c>
      <c r="S67">
        <v>2.0000000000000004E-2</v>
      </c>
      <c r="T67">
        <v>4.9999999999999989E-2</v>
      </c>
      <c r="U67">
        <v>6.9999999999999951E-2</v>
      </c>
      <c r="V67">
        <v>0.14999999999999997</v>
      </c>
      <c r="W67">
        <v>0.14000000000000001</v>
      </c>
      <c r="X67">
        <v>0.41</v>
      </c>
      <c r="Y67">
        <v>0.21000000000000002</v>
      </c>
      <c r="AA67">
        <v>0</v>
      </c>
      <c r="AB67">
        <v>0.11000000000000001</v>
      </c>
      <c r="AC67">
        <v>0.09</v>
      </c>
      <c r="AD67">
        <v>0.18000000000000002</v>
      </c>
      <c r="AE67">
        <v>1.0000000000000009E-2</v>
      </c>
      <c r="AF67">
        <v>0.20999999999999996</v>
      </c>
      <c r="AG67">
        <v>0.19</v>
      </c>
      <c r="AH67">
        <v>0.39</v>
      </c>
    </row>
  </sheetData>
  <mergeCells count="8">
    <mergeCell ref="AA2:AH2"/>
    <mergeCell ref="AA38:AH38"/>
    <mergeCell ref="A2:G2"/>
    <mergeCell ref="A38:G38"/>
    <mergeCell ref="I2:P2"/>
    <mergeCell ref="I38:P38"/>
    <mergeCell ref="R2:Y2"/>
    <mergeCell ref="R38:Y3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Field of Work</vt:lpstr>
      <vt:lpstr>Sheet4</vt:lpstr>
      <vt:lpstr>Sheet5</vt:lpstr>
      <vt:lpstr>Sheet6</vt:lpstr>
      <vt:lpstr>Form Responses 1</vt:lpstr>
      <vt:lpstr>Sheet1</vt:lpstr>
      <vt:lpstr>Pearson</vt:lpstr>
      <vt:lpstr>Error from BIM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Mohammed Hossam</cp:lastModifiedBy>
  <dcterms:created xsi:type="dcterms:W3CDTF">2025-12-09T12:44:04Z</dcterms:created>
  <dcterms:modified xsi:type="dcterms:W3CDTF">2026-08-02T13:12:59Z</dcterms:modified>
</cp:coreProperties>
</file>