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Master\Progress Reports (Tasks)\Task 4\Dynamo Scripts\Repository\"/>
    </mc:Choice>
  </mc:AlternateContent>
  <xr:revisionPtr revIDLastSave="0" documentId="13_ncr:1_{E5AA18BA-1111-44D7-AEEC-0CCBA0288092}" xr6:coauthVersionLast="47" xr6:coauthVersionMax="47" xr10:uidLastSave="{00000000-0000-0000-0000-000000000000}"/>
  <bookViews>
    <workbookView xWindow="-110" yWindow="-110" windowWidth="25820" windowHeight="14020" tabRatio="774" firstSheet="1" activeTab="1" xr2:uid="{00000000-000D-0000-FFFF-FFFF00000000}"/>
  </bookViews>
  <sheets>
    <sheet name="Field of Work" sheetId="4" r:id="rId1"/>
    <sheet name="Form Responses 1" sheetId="1" r:id="rId2"/>
    <sheet name="Spearman" sheetId="2" r:id="rId3"/>
    <sheet name="Pearson" sheetId="9" r:id="rId4"/>
  </sheet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G36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G34" i="1"/>
  <c r="H35" i="1"/>
  <c r="H41" i="1" s="1"/>
  <c r="I35" i="1"/>
  <c r="J35" i="1"/>
  <c r="J41" i="1" s="1"/>
  <c r="K35" i="1"/>
  <c r="K41" i="1" s="1"/>
  <c r="L35" i="1"/>
  <c r="M35" i="1"/>
  <c r="N35" i="1"/>
  <c r="N41" i="1" s="1"/>
  <c r="O35" i="1"/>
  <c r="P35" i="1"/>
  <c r="P41" i="1" s="1"/>
  <c r="Q35" i="1"/>
  <c r="R35" i="1"/>
  <c r="R41" i="1" s="1"/>
  <c r="S35" i="1"/>
  <c r="S41" i="1" s="1"/>
  <c r="T35" i="1"/>
  <c r="U35" i="1"/>
  <c r="V35" i="1"/>
  <c r="V41" i="1" s="1"/>
  <c r="W35" i="1"/>
  <c r="X35" i="1"/>
  <c r="X41" i="1" s="1"/>
  <c r="Y35" i="1"/>
  <c r="Y41" i="1" s="1"/>
  <c r="Z35" i="1"/>
  <c r="AA35" i="1"/>
  <c r="AA41" i="1" s="1"/>
  <c r="AB35" i="1"/>
  <c r="AB41" i="1" s="1"/>
  <c r="AC35" i="1"/>
  <c r="AC41" i="1" s="1"/>
  <c r="AD35" i="1"/>
  <c r="AD41" i="1" s="1"/>
  <c r="AE35" i="1"/>
  <c r="AE41" i="1" s="1"/>
  <c r="AF35" i="1"/>
  <c r="AF41" i="1" s="1"/>
  <c r="AG35" i="1"/>
  <c r="AH35" i="1"/>
  <c r="AI35" i="1"/>
  <c r="AI41" i="1" s="1"/>
  <c r="AJ35" i="1"/>
  <c r="AJ41" i="1" s="1"/>
  <c r="AK35" i="1"/>
  <c r="AK41" i="1" s="1"/>
  <c r="G35" i="1"/>
  <c r="G41" i="1" s="1"/>
  <c r="AL36" i="1" l="1"/>
  <c r="X38" i="1"/>
  <c r="AM36" i="1"/>
  <c r="AF38" i="1"/>
  <c r="AG38" i="1"/>
  <c r="AE38" i="1"/>
  <c r="W38" i="1"/>
  <c r="O38" i="1"/>
  <c r="Q38" i="1"/>
  <c r="AG41" i="1"/>
  <c r="W41" i="1"/>
  <c r="I38" i="1"/>
  <c r="U38" i="1"/>
  <c r="M38" i="1"/>
  <c r="Q41" i="1"/>
  <c r="Y38" i="1"/>
  <c r="T38" i="1"/>
  <c r="L38" i="1"/>
  <c r="O41" i="1"/>
  <c r="I41" i="1"/>
  <c r="N38" i="1"/>
  <c r="V38" i="1"/>
  <c r="G38" i="1"/>
  <c r="AC38" i="1"/>
  <c r="AK38" i="1"/>
  <c r="H38" i="1"/>
  <c r="P38" i="1"/>
  <c r="AB38" i="1"/>
  <c r="AJ38" i="1"/>
  <c r="U41" i="1"/>
  <c r="M41" i="1"/>
  <c r="AD38" i="1"/>
  <c r="AA38" i="1"/>
  <c r="AI38" i="1"/>
  <c r="T41" i="1"/>
  <c r="L41" i="1"/>
  <c r="J38" i="1"/>
  <c r="R38" i="1"/>
  <c r="Z38" i="1"/>
  <c r="AH38" i="1"/>
  <c r="K38" i="1"/>
  <c r="S38" i="1"/>
  <c r="AH41" i="1"/>
  <c r="Z41" i="1"/>
  <c r="G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G42" i="1" l="1"/>
  <c r="N42" i="1"/>
  <c r="V42" i="1"/>
  <c r="AD42" i="1"/>
  <c r="J39" i="1"/>
  <c r="H39" i="1"/>
  <c r="K39" i="1"/>
  <c r="M39" i="1"/>
  <c r="L39" i="1"/>
  <c r="I39" i="1"/>
  <c r="G43" i="1" l="1"/>
  <c r="AK43" i="1"/>
  <c r="AE43" i="1"/>
  <c r="V43" i="1"/>
  <c r="W43" i="1"/>
  <c r="O43" i="1"/>
  <c r="AD43" i="1"/>
  <c r="N43" i="1"/>
  <c r="N44" i="1" s="1"/>
  <c r="U43" i="1"/>
  <c r="AJ43" i="1"/>
  <c r="AB43" i="1"/>
  <c r="T43" i="1"/>
  <c r="L43" i="1"/>
  <c r="AC43" i="1"/>
  <c r="AI43" i="1"/>
  <c r="AA43" i="1"/>
  <c r="S43" i="1"/>
  <c r="K43" i="1"/>
  <c r="M43" i="1"/>
  <c r="AH43" i="1"/>
  <c r="Z43" i="1"/>
  <c r="R43" i="1"/>
  <c r="J43" i="1"/>
  <c r="AG43" i="1"/>
  <c r="Y43" i="1"/>
  <c r="Q43" i="1"/>
  <c r="H43" i="1"/>
  <c r="I43" i="1"/>
  <c r="AF43" i="1"/>
  <c r="X43" i="1"/>
  <c r="P43" i="1"/>
  <c r="AD44" i="1" l="1"/>
  <c r="V44" i="1"/>
  <c r="G44" i="1"/>
  <c r="G40" i="1"/>
  <c r="V40" i="1"/>
  <c r="N40" i="1"/>
  <c r="AD40" i="1"/>
</calcChain>
</file>

<file path=xl/sharedStrings.xml><?xml version="1.0" encoding="utf-8"?>
<sst xmlns="http://schemas.openxmlformats.org/spreadsheetml/2006/main" count="328" uniqueCount="72">
  <si>
    <t>Gender</t>
  </si>
  <si>
    <t>Primary field of work</t>
  </si>
  <si>
    <t>Male</t>
  </si>
  <si>
    <t>Teaching</t>
  </si>
  <si>
    <t>10-14</t>
  </si>
  <si>
    <t>Rarely</t>
  </si>
  <si>
    <t>Fair</t>
  </si>
  <si>
    <t>Female</t>
  </si>
  <si>
    <t>Architectural design</t>
  </si>
  <si>
    <t>5-9</t>
  </si>
  <si>
    <t>Occasionally</t>
  </si>
  <si>
    <t>Very good</t>
  </si>
  <si>
    <t>+14</t>
  </si>
  <si>
    <t>Frequently</t>
  </si>
  <si>
    <t>Good</t>
  </si>
  <si>
    <t>0-4</t>
  </si>
  <si>
    <t>Always</t>
  </si>
  <si>
    <t>Excellent</t>
  </si>
  <si>
    <t>Median</t>
  </si>
  <si>
    <t>Mean</t>
  </si>
  <si>
    <t>Rank_Humans</t>
  </si>
  <si>
    <t>Rank_GroundTruth</t>
  </si>
  <si>
    <t>Abs mean</t>
  </si>
  <si>
    <t>Reg</t>
  </si>
  <si>
    <t>Complexity</t>
  </si>
  <si>
    <t>Diversity</t>
  </si>
  <si>
    <t>Balance</t>
  </si>
  <si>
    <t>BIM</t>
  </si>
  <si>
    <t>Row Labels</t>
  </si>
  <si>
    <t>Grand Total</t>
  </si>
  <si>
    <t>Count of Column8</t>
  </si>
  <si>
    <t>R1</t>
  </si>
  <si>
    <t>R2</t>
  </si>
  <si>
    <t>R3</t>
  </si>
  <si>
    <t>B1</t>
  </si>
  <si>
    <t>B2</t>
  </si>
  <si>
    <t>B3</t>
  </si>
  <si>
    <t>B4</t>
  </si>
  <si>
    <t>D1</t>
  </si>
  <si>
    <t>D2</t>
  </si>
  <si>
    <t>D3</t>
  </si>
  <si>
    <t>D4</t>
  </si>
  <si>
    <t>C1</t>
  </si>
  <si>
    <t>C2</t>
  </si>
  <si>
    <t>C3</t>
  </si>
  <si>
    <t>C4</t>
  </si>
  <si>
    <t>X</t>
  </si>
  <si>
    <t>Y</t>
  </si>
  <si>
    <t>Std. Div.</t>
  </si>
  <si>
    <t>Spearman Correlation</t>
  </si>
  <si>
    <t>Architectural visualization</t>
  </si>
  <si>
    <t>Working Drawings</t>
  </si>
  <si>
    <t>Regularity</t>
  </si>
  <si>
    <t>CS1</t>
  </si>
  <si>
    <t>CS2</t>
  </si>
  <si>
    <t>CS3</t>
  </si>
  <si>
    <t>CS4</t>
  </si>
  <si>
    <t>MIN</t>
  </si>
  <si>
    <t>MAX</t>
  </si>
  <si>
    <t>Years of architectural
design experience</t>
  </si>
  <si>
    <t xml:space="preserve">Frequency of façade
design involvement </t>
  </si>
  <si>
    <t>Level of application and attention to
architectural aesthetics in the design process</t>
  </si>
  <si>
    <t>Symmetry-based Balance</t>
  </si>
  <si>
    <t>BIM-based Evaluation</t>
  </si>
  <si>
    <t>Rank_Respondents</t>
  </si>
  <si>
    <t>Rank_BIM</t>
  </si>
  <si>
    <t>Excluded Responses</t>
  </si>
  <si>
    <t>Mean-BIM ^2</t>
  </si>
  <si>
    <t>MAE (Percentage Points)</t>
  </si>
  <si>
    <t>RMSE (Percentage Points)</t>
  </si>
  <si>
    <t>Questionnaire Responses – Group 2: 2D Elevations</t>
  </si>
  <si>
    <t>Each row represents one anonymised respondent. The upper section contains responses retained for analysis. The lower red-shaded section contains excluded responses. Direct personal identifiers have been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</si>
</sst>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16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9" fontId="6" fillId="0" borderId="0" applyFont="0" applyFill="0" applyBorder="0" applyAlignment="0" applyProtection="0"/>
  </cellStyleXfs>
  <cellXfs count="102">
    <xf numFmtId="0" fontId="0" fillId="0" borderId="0" xfId="0"/>
    <xf numFmtId="0" fontId="5" fillId="0" borderId="0" xfId="0" applyFont="1"/>
    <xf numFmtId="0" fontId="4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10" fontId="0" fillId="0" borderId="5" xfId="0" applyNumberFormat="1" applyBorder="1"/>
    <xf numFmtId="9" fontId="0" fillId="0" borderId="0" xfId="0" applyNumberFormat="1" applyAlignment="1">
      <alignment horizontal="center" vertical="center"/>
    </xf>
    <xf numFmtId="9" fontId="0" fillId="0" borderId="3" xfId="0" applyNumberFormat="1" applyBorder="1"/>
    <xf numFmtId="9" fontId="0" fillId="0" borderId="4" xfId="0" applyNumberFormat="1" applyBorder="1"/>
    <xf numFmtId="0" fontId="0" fillId="0" borderId="7" xfId="0" applyBorder="1"/>
    <xf numFmtId="0" fontId="4" fillId="0" borderId="0" xfId="0" applyFont="1" applyAlignment="1">
      <alignment horizontal="center" vertical="center"/>
    </xf>
    <xf numFmtId="0" fontId="1" fillId="0" borderId="7" xfId="0" applyFont="1" applyBorder="1" applyAlignment="1">
      <alignment vertical="center"/>
    </xf>
    <xf numFmtId="9" fontId="1" fillId="0" borderId="7" xfId="0" applyNumberFormat="1" applyFont="1" applyBorder="1" applyAlignment="1">
      <alignment horizontal="center" vertical="center"/>
    </xf>
    <xf numFmtId="9" fontId="0" fillId="0" borderId="0" xfId="2" applyFont="1"/>
    <xf numFmtId="0" fontId="1" fillId="8" borderId="7" xfId="0" applyFont="1" applyFill="1" applyBorder="1" applyAlignment="1">
      <alignment vertical="center"/>
    </xf>
    <xf numFmtId="9" fontId="1" fillId="8" borderId="7" xfId="0" applyNumberFormat="1" applyFont="1" applyFill="1" applyBorder="1" applyAlignment="1">
      <alignment horizontal="center" vertical="center"/>
    </xf>
    <xf numFmtId="0" fontId="0" fillId="5" borderId="0" xfId="0" applyFill="1"/>
    <xf numFmtId="0" fontId="1" fillId="5" borderId="7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9" fontId="3" fillId="5" borderId="7" xfId="2" applyFont="1" applyFill="1" applyBorder="1" applyAlignment="1">
      <alignment horizontal="center" vertical="center"/>
    </xf>
    <xf numFmtId="0" fontId="0" fillId="5" borderId="7" xfId="0" applyFill="1" applyBorder="1"/>
    <xf numFmtId="0" fontId="1" fillId="5" borderId="7" xfId="0" quotePrefix="1" applyFont="1" applyFill="1" applyBorder="1" applyAlignment="1">
      <alignment vertical="center"/>
    </xf>
    <xf numFmtId="9" fontId="1" fillId="5" borderId="7" xfId="2" applyFont="1" applyFill="1" applyBorder="1" applyAlignment="1">
      <alignment horizontal="center" vertical="center"/>
    </xf>
    <xf numFmtId="9" fontId="1" fillId="5" borderId="7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 wrapText="1"/>
    </xf>
    <xf numFmtId="0" fontId="1" fillId="5" borderId="18" xfId="0" applyFont="1" applyFill="1" applyBorder="1" applyAlignment="1">
      <alignment horizontal="center" vertical="center"/>
    </xf>
    <xf numFmtId="9" fontId="3" fillId="5" borderId="17" xfId="2" applyFont="1" applyFill="1" applyBorder="1" applyAlignment="1">
      <alignment horizontal="center" vertical="center"/>
    </xf>
    <xf numFmtId="9" fontId="1" fillId="5" borderId="17" xfId="0" applyNumberFormat="1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vertical="center"/>
    </xf>
    <xf numFmtId="0" fontId="1" fillId="5" borderId="12" xfId="0" quotePrefix="1" applyFont="1" applyFill="1" applyBorder="1" applyAlignment="1">
      <alignment vertical="center"/>
    </xf>
    <xf numFmtId="0" fontId="3" fillId="4" borderId="19" xfId="0" applyFont="1" applyFill="1" applyBorder="1" applyAlignment="1">
      <alignment horizontal="left" vertical="center"/>
    </xf>
    <xf numFmtId="0" fontId="3" fillId="4" borderId="20" xfId="0" applyFont="1" applyFill="1" applyBorder="1" applyAlignment="1">
      <alignment horizontal="left" vertical="center"/>
    </xf>
    <xf numFmtId="9" fontId="3" fillId="3" borderId="7" xfId="2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9" fontId="1" fillId="0" borderId="17" xfId="0" applyNumberFormat="1" applyFont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9" fontId="1" fillId="8" borderId="17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2" xfId="0" quotePrefix="1" applyFont="1" applyBorder="1" applyAlignment="1">
      <alignment vertical="center"/>
    </xf>
    <xf numFmtId="9" fontId="1" fillId="6" borderId="12" xfId="0" applyNumberFormat="1" applyFont="1" applyFill="1" applyBorder="1" applyAlignment="1">
      <alignment horizontal="center" vertical="center"/>
    </xf>
    <xf numFmtId="9" fontId="1" fillId="0" borderId="12" xfId="0" applyNumberFormat="1" applyFont="1" applyBorder="1" applyAlignment="1">
      <alignment horizontal="center" vertical="center"/>
    </xf>
    <xf numFmtId="9" fontId="1" fillId="0" borderId="13" xfId="0" applyNumberFormat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1" fillId="5" borderId="21" xfId="0" applyFont="1" applyFill="1" applyBorder="1" applyAlignment="1">
      <alignment vertical="center"/>
    </xf>
    <xf numFmtId="9" fontId="1" fillId="5" borderId="21" xfId="2" applyFont="1" applyFill="1" applyBorder="1" applyAlignment="1">
      <alignment horizontal="center" vertical="center"/>
    </xf>
    <xf numFmtId="9" fontId="1" fillId="5" borderId="21" xfId="0" applyNumberFormat="1" applyFont="1" applyFill="1" applyBorder="1" applyAlignment="1">
      <alignment horizontal="center" vertical="center"/>
    </xf>
    <xf numFmtId="9" fontId="1" fillId="5" borderId="22" xfId="0" applyNumberFormat="1" applyFont="1" applyFill="1" applyBorder="1" applyAlignment="1">
      <alignment horizontal="center" vertical="center"/>
    </xf>
    <xf numFmtId="9" fontId="1" fillId="3" borderId="7" xfId="0" applyNumberFormat="1" applyFont="1" applyFill="1" applyBorder="1" applyAlignment="1">
      <alignment vertical="center"/>
    </xf>
    <xf numFmtId="9" fontId="5" fillId="4" borderId="7" xfId="1" applyNumberFormat="1" applyFont="1" applyFill="1" applyBorder="1"/>
    <xf numFmtId="0" fontId="0" fillId="7" borderId="7" xfId="0" applyFill="1" applyBorder="1"/>
    <xf numFmtId="2" fontId="0" fillId="7" borderId="7" xfId="0" applyNumberFormat="1" applyFill="1" applyBorder="1"/>
    <xf numFmtId="2" fontId="4" fillId="0" borderId="7" xfId="0" applyNumberFormat="1" applyFont="1" applyBorder="1"/>
    <xf numFmtId="2" fontId="0" fillId="0" borderId="7" xfId="0" applyNumberFormat="1" applyBorder="1"/>
    <xf numFmtId="0" fontId="2" fillId="3" borderId="18" xfId="0" applyFont="1" applyFill="1" applyBorder="1" applyAlignment="1">
      <alignment vertical="center"/>
    </xf>
    <xf numFmtId="9" fontId="1" fillId="3" borderId="17" xfId="0" applyNumberFormat="1" applyFont="1" applyFill="1" applyBorder="1" applyAlignment="1">
      <alignment vertical="center"/>
    </xf>
    <xf numFmtId="0" fontId="5" fillId="4" borderId="18" xfId="0" applyFont="1" applyFill="1" applyBorder="1"/>
    <xf numFmtId="9" fontId="5" fillId="4" borderId="17" xfId="1" applyNumberFormat="1" applyFont="1" applyFill="1" applyBorder="1"/>
    <xf numFmtId="0" fontId="4" fillId="0" borderId="18" xfId="0" applyFont="1" applyBorder="1"/>
    <xf numFmtId="0" fontId="0" fillId="0" borderId="17" xfId="0" applyBorder="1"/>
    <xf numFmtId="0" fontId="5" fillId="7" borderId="18" xfId="0" applyFont="1" applyFill="1" applyBorder="1"/>
    <xf numFmtId="0" fontId="4" fillId="7" borderId="17" xfId="0" applyFont="1" applyFill="1" applyBorder="1"/>
    <xf numFmtId="2" fontId="4" fillId="0" borderId="17" xfId="0" applyNumberFormat="1" applyFont="1" applyBorder="1"/>
    <xf numFmtId="0" fontId="0" fillId="7" borderId="17" xfId="0" applyFill="1" applyBorder="1"/>
    <xf numFmtId="2" fontId="0" fillId="0" borderId="17" xfId="0" applyNumberFormat="1" applyBorder="1"/>
    <xf numFmtId="0" fontId="4" fillId="4" borderId="14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9" borderId="8" xfId="0" applyFont="1" applyFill="1" applyBorder="1" applyAlignment="1">
      <alignment vertical="center"/>
    </xf>
    <xf numFmtId="9" fontId="1" fillId="9" borderId="9" xfId="0" applyNumberFormat="1" applyFont="1" applyFill="1" applyBorder="1" applyAlignment="1">
      <alignment vertical="center"/>
    </xf>
    <xf numFmtId="9" fontId="1" fillId="9" borderId="10" xfId="0" applyNumberFormat="1" applyFont="1" applyFill="1" applyBorder="1" applyAlignment="1">
      <alignment vertical="center"/>
    </xf>
    <xf numFmtId="0" fontId="5" fillId="7" borderId="11" xfId="0" applyFont="1" applyFill="1" applyBorder="1"/>
    <xf numFmtId="2" fontId="0" fillId="7" borderId="12" xfId="0" applyNumberFormat="1" applyFill="1" applyBorder="1"/>
    <xf numFmtId="0" fontId="0" fillId="7" borderId="12" xfId="0" applyFill="1" applyBorder="1"/>
    <xf numFmtId="0" fontId="0" fillId="7" borderId="13" xfId="0" applyFill="1" applyBorder="1"/>
    <xf numFmtId="9" fontId="4" fillId="7" borderId="7" xfId="2" applyFont="1" applyFill="1" applyBorder="1"/>
    <xf numFmtId="9" fontId="0" fillId="7" borderId="7" xfId="2" applyFont="1" applyFill="1" applyBorder="1"/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8C6BFA0E-A8EB-4911-8F40-CC9D712D1DA6}"/>
    <cellStyle name="Percent" xfId="2" builtinId="5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00000000-0011-0000-FFFF-FFFF00000000}">
      <tableStyleElement type="wholeTable" size="0" dxfId="36"/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[Questionnaire Responses (Group 2).xlsx]Field of Work!PivotTable4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'Field of Work'!$B$3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F-4936-B3EB-D2711EE582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F-4936-B3EB-D2711EE582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F-4936-B3EB-D2711EE582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F-4936-B3EB-D2711EE582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'Field of Work'!$A$4:$A$8</c:f>
              <c:strCache>
                <c:ptCount val="4"/>
                <c:pt idx="0">
                  <c:v>Architectural design</c:v>
                </c:pt>
                <c:pt idx="1">
                  <c:v>Teaching</c:v>
                </c:pt>
                <c:pt idx="2">
                  <c:v>BIM</c:v>
                </c:pt>
                <c:pt idx="3">
                  <c:v>Architectural visualization</c:v>
                </c:pt>
              </c:strCache>
            </c:strRef>
          </c:cat>
          <c:val>
            <c:numRef>
              <c:f>'Field of Work'!$B$4:$B$8</c:f>
              <c:numCache>
                <c:formatCode>0%</c:formatCode>
                <c:ptCount val="4"/>
                <c:pt idx="0">
                  <c:v>0.70370370370370372</c:v>
                </c:pt>
                <c:pt idx="1">
                  <c:v>3.7037037037037035E-2</c:v>
                </c:pt>
                <c:pt idx="2">
                  <c:v>0.22222222222222221</c:v>
                </c:pt>
                <c:pt idx="3">
                  <c:v>3.7037037037037035E-2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8A9-4521-ABC2-76A971D45B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73DF6B8-1646-4499-ADEA-F025A37EB64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C7A-429D-B18E-4710481D377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1CF39D8-F7C2-4FDC-9290-C001F4EC79D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C7A-429D-B18E-4710481D377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A3E5BBA-CCE6-460B-8A11-FCDB4AFEB19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C7A-429D-B18E-4710481D377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9786DF4-4E0B-47AD-9FAA-0BC712CCE30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C7A-429D-B18E-4710481D377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A0CA694-FCE5-4A20-B840-9264782F949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C7A-429D-B18E-4710481D377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F298314-B147-49B3-AD7B-7254DB333C3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C7A-429D-B18E-4710481D3771}"/>
                </c:ext>
              </c:extLst>
            </c:dLbl>
            <c:dLbl>
              <c:idx val="6"/>
              <c:layout>
                <c:manualLayout>
                  <c:x val="5.5555555555554534E-3"/>
                  <c:y val="5.859375E-2"/>
                </c:manualLayout>
              </c:layout>
              <c:tx>
                <c:rich>
                  <a:bodyPr/>
                  <a:lstStyle/>
                  <a:p>
                    <a:fld id="{999CE8BD-7DB9-4C7C-AE76-B00D73038E8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C7A-429D-B18E-4710481D37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Spearman!$B$3:$B$9</c:f>
              <c:numCache>
                <c:formatCode>General</c:formatCode>
                <c:ptCount val="7"/>
                <c:pt idx="0">
                  <c:v>5.5</c:v>
                </c:pt>
                <c:pt idx="1">
                  <c:v>2</c:v>
                </c:pt>
                <c:pt idx="2">
                  <c:v>1</c:v>
                </c:pt>
                <c:pt idx="3">
                  <c:v>5.5</c:v>
                </c:pt>
                <c:pt idx="4">
                  <c:v>3</c:v>
                </c:pt>
                <c:pt idx="5">
                  <c:v>5.5</c:v>
                </c:pt>
                <c:pt idx="6">
                  <c:v>5.5</c:v>
                </c:pt>
              </c:numCache>
            </c:numRef>
          </c:xVal>
          <c:yVal>
            <c:numRef>
              <c:f>Spearman!$C$3:$C$9</c:f>
              <c:numCache>
                <c:formatCode>General</c:formatCode>
                <c:ptCount val="7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1</c:v>
                </c:pt>
                <c:pt idx="5">
                  <c:v>4.5</c:v>
                </c:pt>
                <c:pt idx="6">
                  <c:v>4.5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Spearman!$A$3:$A$9</c15:f>
                <c15:dlblRangeCache>
                  <c:ptCount val="7"/>
                  <c:pt idx="0">
                    <c:v>R1</c:v>
                  </c:pt>
                  <c:pt idx="1">
                    <c:v>R2</c:v>
                  </c:pt>
                  <c:pt idx="2">
                    <c:v>R3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  <c:pt idx="6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FE7-48FA-8F9F-164AF6083961}"/>
            </c:ext>
          </c:extLst>
        </c:ser>
        <c:ser>
          <c:idx val="1"/>
          <c:order val="1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Spearman!$E$3:$E$9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Spearman!$F$3:$F$9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B0-4141-ABD0-819DF5F13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661551"/>
        <c:axId val="1120672591"/>
      </c:scatterChart>
      <c:valAx>
        <c:axId val="112066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Median expert visual assessment scores of facade regularity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72591"/>
        <c:crosses val="autoZero"/>
        <c:crossBetween val="midCat"/>
      </c:valAx>
      <c:valAx>
        <c:axId val="11206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BIM-based façade regularity evaluation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6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3C8AF38-64DE-4991-82A1-E56A638E6BF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E4C-4A4A-A977-84CB6A94B9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BC789B1-865A-4BA6-88F0-E228E47E2D9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E4C-4A4A-A977-84CB6A94B9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BEB2914-F6DC-4936-A245-8D488B46C83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E4C-4A4A-A977-84CB6A94B9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7E811BA-5675-4B4C-98E4-E4862A1C660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E4C-4A4A-A977-84CB6A94B9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22504FE-8255-499C-8B86-F465B6C4907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E4C-4A4A-A977-84CB6A94B9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377F881-612F-4A5C-9955-F25ABC8C2F6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E4C-4A4A-A977-84CB6A94B9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3C0B4C0-C000-432B-AE9E-E57BA213109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E4C-4A4A-A977-84CB6A94B9C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F506F44-C223-4FD2-978A-48A51AFEE62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E4C-4A4A-A977-84CB6A94B9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Spearman!$B$10:$B$17</c:f>
              <c:numCache>
                <c:formatCode>General</c:formatCode>
                <c:ptCount val="8"/>
                <c:pt idx="0">
                  <c:v>1</c:v>
                </c:pt>
                <c:pt idx="1">
                  <c:v>4.5</c:v>
                </c:pt>
                <c:pt idx="2">
                  <c:v>2</c:v>
                </c:pt>
                <c:pt idx="3">
                  <c:v>3</c:v>
                </c:pt>
                <c:pt idx="4">
                  <c:v>4.5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</c:numCache>
            </c:numRef>
          </c:xVal>
          <c:yVal>
            <c:numRef>
              <c:f>Spearman!$C$10:$C$17</c:f>
              <c:numCache>
                <c:formatCode>General</c:formatCode>
                <c:ptCount val="8"/>
                <c:pt idx="0">
                  <c:v>1</c:v>
                </c:pt>
                <c:pt idx="1">
                  <c:v>6.5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6.5</c:v>
                </c:pt>
                <c:pt idx="6">
                  <c:v>6.5</c:v>
                </c:pt>
                <c:pt idx="7">
                  <c:v>6.5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Spearman!$A$10:$A$17</c15:f>
                <c15:dlblRangeCache>
                  <c:ptCount val="8"/>
                  <c:pt idx="0">
                    <c:v>B1</c:v>
                  </c:pt>
                  <c:pt idx="1">
                    <c:v>B2</c:v>
                  </c:pt>
                  <c:pt idx="2">
                    <c:v>B3</c:v>
                  </c:pt>
                  <c:pt idx="3">
                    <c:v>B4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D9A-44D9-BE02-42017ECFE7DA}"/>
            </c:ext>
          </c:extLst>
        </c:ser>
        <c:ser>
          <c:idx val="1"/>
          <c:order val="1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Spearman!$E$3:$E$10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Spearman!$F$3:$F$10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E4C-4A4A-A977-84CB6A94B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690831"/>
        <c:axId val="1120687951"/>
      </c:scatterChart>
      <c:valAx>
        <c:axId val="112069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Median expert visual assessment scores of facade 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87951"/>
        <c:crosses val="autoZero"/>
        <c:crossBetween val="midCat"/>
        <c:majorUnit val="1"/>
      </c:valAx>
      <c:valAx>
        <c:axId val="11206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BIM-based façade balance evaluation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9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9C35C02-2C2F-4DBA-9AF2-B91A0DC70A5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FF7-4177-9397-168168A8C3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E01C392-5955-4348-BCD6-E8BB079D0D4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FF7-4177-9397-168168A8C3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182C591-2C24-45A1-96C7-1819A6B4E0A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FF7-4177-9397-168168A8C3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C1C4E8E-D7CA-4E54-8433-9F4FE85FCF9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FF7-4177-9397-168168A8C3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2AB37F7-CDB4-4ED1-8277-8AC91749C55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FF7-4177-9397-168168A8C3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3BE787A-9A54-4259-84A0-4D4A3A926FC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FF7-4177-9397-168168A8C3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DF1B67E-DF74-4F74-A97A-3B3FAD62AAF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FF7-4177-9397-168168A8C3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F7CC0DB-A148-4C37-9E62-2422FFA36DA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FF7-4177-9397-168168A8C3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Spearman!$B$18:$B$25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</c:numCache>
            </c:numRef>
          </c:xVal>
          <c:yVal>
            <c:numRef>
              <c:f>Spearman!$C$18:$C$25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  <c:pt idx="6">
                  <c:v>3.5</c:v>
                </c:pt>
                <c:pt idx="7">
                  <c:v>3.5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Spearman!$A$18:$A$25</c15:f>
                <c15:dlblRangeCache>
                  <c:ptCount val="8"/>
                  <c:pt idx="0">
                    <c:v>D1</c:v>
                  </c:pt>
                  <c:pt idx="1">
                    <c:v>D2</c:v>
                  </c:pt>
                  <c:pt idx="2">
                    <c:v>D3</c:v>
                  </c:pt>
                  <c:pt idx="3">
                    <c:v>D4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BBD-4B7D-A4E4-D9C705E6E045}"/>
            </c:ext>
          </c:extLst>
        </c:ser>
        <c:ser>
          <c:idx val="1"/>
          <c:order val="1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Spearman!$E$3:$E$10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Spearman!$F$3:$F$10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FF7-4177-9397-168168A8C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082927"/>
        <c:axId val="1346080047"/>
      </c:scatterChart>
      <c:valAx>
        <c:axId val="13460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Median expert visual assessment scores of facade diversity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080047"/>
        <c:crosses val="autoZero"/>
        <c:crossBetween val="midCat"/>
        <c:majorUnit val="1"/>
      </c:valAx>
      <c:valAx>
        <c:axId val="134608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BIM-based façade diversity evaluation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08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5694A8D-1643-46DB-879A-C01257BE93A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AB7-464F-99AA-8FC27985FAA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ABE4CBB-C976-4A3C-BAFD-C4526A5FAD8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AB7-464F-99AA-8FC27985FAA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ECF07EB-94B0-4139-8863-F2CD4AB7F15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AB7-464F-99AA-8FC27985FAA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645D050-6ADE-4D18-BF7F-C8CD25A398D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AB7-464F-99AA-8FC27985FAA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9B5BE38-6FEE-4D6B-B930-7B2F8EA6946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AB7-464F-99AA-8FC27985FAA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63E3200-A979-408D-AB88-3A147CB4A88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AB7-464F-99AA-8FC27985FAA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EBA1733-62B7-49D0-ABCE-62F1C26A7D2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AB7-464F-99AA-8FC27985FAA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A9960A5-4F65-4161-9A59-306770556BD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AB7-464F-99AA-8FC27985FA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Spearman!$B$26:$B$33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</c:numCache>
            </c:numRef>
          </c:xVal>
          <c:yVal>
            <c:numRef>
              <c:f>Spearman!$C$26:$C$33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3.5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7</c:v>
                </c:pt>
                <c:pt idx="7">
                  <c:v>3.5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Spearman!$A$26:$A$33</c15:f>
                <c15:dlblRangeCache>
                  <c:ptCount val="8"/>
                  <c:pt idx="0">
                    <c:v>C1</c:v>
                  </c:pt>
                  <c:pt idx="1">
                    <c:v>C2</c:v>
                  </c:pt>
                  <c:pt idx="2">
                    <c:v>C3</c:v>
                  </c:pt>
                  <c:pt idx="3">
                    <c:v>C4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954-4E8F-8256-292183270AE6}"/>
            </c:ext>
          </c:extLst>
        </c:ser>
        <c:ser>
          <c:idx val="1"/>
          <c:order val="1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Spearman!$E$3:$E$10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Spearman!$F$3:$F$10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AB7-464F-99AA-8FC27985F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643311"/>
        <c:axId val="1120646671"/>
      </c:scatterChart>
      <c:valAx>
        <c:axId val="112064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Median expert visual assessment scores of facade complexity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46671"/>
        <c:crosses val="autoZero"/>
        <c:crossBetween val="midCat"/>
        <c:majorUnit val="1"/>
      </c:valAx>
      <c:valAx>
        <c:axId val="112064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BIM-based façade complexity  evaluation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4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5DB1CDF-A002-41EC-8337-D50B6FA7D01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C4D-4FD3-84B2-E285D60376E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6410101-7A3E-4BDA-9785-CDBFDE620D4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C4D-4FD3-84B2-E285D60376E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7A1D2DB-8C7C-47DF-80A7-4292D523AE4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C4D-4FD3-84B2-E285D60376EB}"/>
                </c:ext>
              </c:extLst>
            </c:dLbl>
            <c:dLbl>
              <c:idx val="3"/>
              <c:layout>
                <c:manualLayout>
                  <c:x val="-5.2777777777777882E-2"/>
                  <c:y val="-3.41796875E-2"/>
                </c:manualLayout>
              </c:layout>
              <c:tx>
                <c:rich>
                  <a:bodyPr/>
                  <a:lstStyle/>
                  <a:p>
                    <a:fld id="{6CA264B4-7AD3-4E8A-9B06-C55A9B59E01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C4D-4FD3-84B2-E285D60376E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3ED98E3-E1E9-4E7B-915B-7696D6390B3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C4D-4FD3-84B2-E285D60376EB}"/>
                </c:ext>
              </c:extLst>
            </c:dLbl>
            <c:dLbl>
              <c:idx val="5"/>
              <c:layout>
                <c:manualLayout>
                  <c:x val="-2.0370135052831988E-16"/>
                  <c:y val="4.8828125000000014E-2"/>
                </c:manualLayout>
              </c:layout>
              <c:tx>
                <c:rich>
                  <a:bodyPr/>
                  <a:lstStyle/>
                  <a:p>
                    <a:fld id="{E749CC31-412B-4369-9A39-7F39E9115C4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C4D-4FD3-84B2-E285D60376EB}"/>
                </c:ext>
              </c:extLst>
            </c:dLbl>
            <c:dLbl>
              <c:idx val="6"/>
              <c:layout>
                <c:manualLayout>
                  <c:x val="2.7777777777775741E-3"/>
                  <c:y val="0.12207031250000003"/>
                </c:manualLayout>
              </c:layout>
              <c:tx>
                <c:rich>
                  <a:bodyPr/>
                  <a:lstStyle/>
                  <a:p>
                    <a:fld id="{F084C8CB-0BE9-460E-A31A-ADFD5B63E78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C4D-4FD3-84B2-E285D60376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Pearson!$B$3:$B$9</c:f>
              <c:numCache>
                <c:formatCode>0%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0.4</c:v>
                </c:pt>
                <c:pt idx="3">
                  <c:v>1</c:v>
                </c:pt>
                <c:pt idx="4">
                  <c:v>0.9</c:v>
                </c:pt>
                <c:pt idx="5">
                  <c:v>1</c:v>
                </c:pt>
                <c:pt idx="6">
                  <c:v>1</c:v>
                </c:pt>
              </c:numCache>
            </c:numRef>
          </c:xVal>
          <c:yVal>
            <c:numRef>
              <c:f>Pearson!$C$3:$C$9</c:f>
              <c:numCache>
                <c:formatCode>0%</c:formatCode>
                <c:ptCount val="7"/>
                <c:pt idx="0">
                  <c:v>1</c:v>
                </c:pt>
                <c:pt idx="1">
                  <c:v>0.96</c:v>
                </c:pt>
                <c:pt idx="2">
                  <c:v>0.91</c:v>
                </c:pt>
                <c:pt idx="3">
                  <c:v>0.98</c:v>
                </c:pt>
                <c:pt idx="4">
                  <c:v>0.9</c:v>
                </c:pt>
                <c:pt idx="5">
                  <c:v>0.97</c:v>
                </c:pt>
                <c:pt idx="6">
                  <c:v>0.97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Pearson!$A$3:$A$9</c15:f>
                <c15:dlblRangeCache>
                  <c:ptCount val="7"/>
                  <c:pt idx="0">
                    <c:v>R1</c:v>
                  </c:pt>
                  <c:pt idx="1">
                    <c:v>R2</c:v>
                  </c:pt>
                  <c:pt idx="2">
                    <c:v>R3</c:v>
                  </c:pt>
                  <c:pt idx="3">
                    <c:v>CS1</c:v>
                  </c:pt>
                  <c:pt idx="4">
                    <c:v>CS2</c:v>
                  </c:pt>
                  <c:pt idx="5">
                    <c:v>CS3</c:v>
                  </c:pt>
                  <c:pt idx="6">
                    <c:v>CS4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1C4D-4FD3-84B2-E285D60376EB}"/>
            </c:ext>
          </c:extLst>
        </c:ser>
        <c:ser>
          <c:idx val="1"/>
          <c:order val="1"/>
          <c:spPr>
            <a:ln w="254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Pearson!$E$3:$E$13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Pearson!$F$3:$F$13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C4D-4FD3-84B2-E285D6037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661551"/>
        <c:axId val="1120672591"/>
      </c:scatterChart>
      <c:valAx>
        <c:axId val="112066155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Median expert visual assessment scores of facade regularity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72591"/>
        <c:crosses val="autoZero"/>
        <c:crossBetween val="midCat"/>
        <c:majorUnit val="0.1"/>
      </c:valAx>
      <c:valAx>
        <c:axId val="1120672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BIM-based façade regularity evaluation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6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935E74A-7CFC-409A-8BC5-30D502C4DCD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DD6-4220-8F31-4701FC1370B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DB3A834-E971-41D0-A522-D84862F6B4F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DD6-4220-8F31-4701FC1370B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DE63AF-643B-4F98-A92B-1BFCC340C33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DD6-4220-8F31-4701FC1370B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B42146E-8632-4F6B-A5D7-538185A375C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DD6-4220-8F31-4701FC1370B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D922D67-64CC-46FD-BE37-8B748931CDD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DD6-4220-8F31-4701FC1370B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148D40A-1077-4C1A-9712-1B98575E1E7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DD6-4220-8F31-4701FC1370B5}"/>
                </c:ext>
              </c:extLst>
            </c:dLbl>
            <c:dLbl>
              <c:idx val="6"/>
              <c:layout>
                <c:manualLayout>
                  <c:x val="-2.0370135052831988E-16"/>
                  <c:y val="6.8478800072715409E-2"/>
                </c:manualLayout>
              </c:layout>
              <c:tx>
                <c:rich>
                  <a:bodyPr/>
                  <a:lstStyle/>
                  <a:p>
                    <a:fld id="{90D0DBF7-84FD-4FBC-A768-61AC64A8A7EA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DD6-4220-8F31-4701FC1370B5}"/>
                </c:ext>
              </c:extLst>
            </c:dLbl>
            <c:dLbl>
              <c:idx val="7"/>
              <c:layout>
                <c:manualLayout>
                  <c:x val="-2.0370135052831988E-16"/>
                  <c:y val="0.15652297159477802"/>
                </c:manualLayout>
              </c:layout>
              <c:tx>
                <c:rich>
                  <a:bodyPr/>
                  <a:lstStyle/>
                  <a:p>
                    <a:fld id="{F7F71C6B-4E01-41A1-99B1-4ACEC8D5DFC4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DD6-4220-8F31-4701FC1370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Pearson!$B$10:$B$17</c:f>
              <c:numCache>
                <c:formatCode>0%</c:formatCode>
                <c:ptCount val="8"/>
                <c:pt idx="0">
                  <c:v>0.2</c:v>
                </c:pt>
                <c:pt idx="1">
                  <c:v>0.9</c:v>
                </c:pt>
                <c:pt idx="2">
                  <c:v>0.4</c:v>
                </c:pt>
                <c:pt idx="3">
                  <c:v>0.6</c:v>
                </c:pt>
                <c:pt idx="4">
                  <c:v>0.9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xVal>
          <c:yVal>
            <c:numRef>
              <c:f>Pearson!$C$10:$C$17</c:f>
              <c:numCache>
                <c:formatCode>0%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0.6</c:v>
                </c:pt>
                <c:pt idx="3">
                  <c:v>0.76</c:v>
                </c:pt>
                <c:pt idx="4">
                  <c:v>0.51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Pearson!$A$10:$A$17</c15:f>
                <c15:dlblRangeCache>
                  <c:ptCount val="8"/>
                  <c:pt idx="0">
                    <c:v>B1</c:v>
                  </c:pt>
                  <c:pt idx="1">
                    <c:v>B2</c:v>
                  </c:pt>
                  <c:pt idx="2">
                    <c:v>B3</c:v>
                  </c:pt>
                  <c:pt idx="3">
                    <c:v>B4</c:v>
                  </c:pt>
                  <c:pt idx="4">
                    <c:v>CS1</c:v>
                  </c:pt>
                  <c:pt idx="5">
                    <c:v>CS2</c:v>
                  </c:pt>
                  <c:pt idx="6">
                    <c:v>CS3</c:v>
                  </c:pt>
                  <c:pt idx="7">
                    <c:v>CS4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2DD6-4220-8F31-4701FC1370B5}"/>
            </c:ext>
          </c:extLst>
        </c:ser>
        <c:ser>
          <c:idx val="1"/>
          <c:order val="1"/>
          <c:spPr>
            <a:ln w="254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Pearson!$E$3:$E$13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Pearson!$F$3:$F$13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DD6-4220-8F31-4701FC137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690831"/>
        <c:axId val="1120687951"/>
      </c:scatterChart>
      <c:valAx>
        <c:axId val="112069083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Median expert visual assessment scores of facade 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87951"/>
        <c:crosses val="autoZero"/>
        <c:crossBetween val="midCat"/>
        <c:majorUnit val="0.1"/>
      </c:valAx>
      <c:valAx>
        <c:axId val="11206879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BIM-based façade balance evaluation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9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472011E-1AB4-4E2E-9421-CC3D7E92F7B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32D-477E-8381-A2247E4BB8E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DDFB481-F88E-4D0E-A7D7-1617330240F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32D-477E-8381-A2247E4BB8E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D8EE854-10A1-4FDB-9733-BAEE681A333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32D-477E-8381-A2247E4BB8E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E454880-0D61-4373-997C-C8125268162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32D-477E-8381-A2247E4BB8E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D757F48-F07E-480A-8D78-1EAA32AFA8F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32D-477E-8381-A2247E4BB8E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A9B3B9C-62FE-4DC7-A85E-9202BF4ABD2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32D-477E-8381-A2247E4BB8E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5216626-7585-4F6F-8C34-92B4F19BF5B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32D-477E-8381-A2247E4BB8E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CCCB59F-2114-4EB4-87E2-6D1E65F6877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32D-477E-8381-A2247E4BB8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Pearson!$B$18:$B$25</c:f>
              <c:numCache>
                <c:formatCode>0%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0.5</c:v>
                </c:pt>
                <c:pt idx="3">
                  <c:v>0.8</c:v>
                </c:pt>
                <c:pt idx="4">
                  <c:v>0.5</c:v>
                </c:pt>
                <c:pt idx="5">
                  <c:v>0.9</c:v>
                </c:pt>
                <c:pt idx="6">
                  <c:v>0.6</c:v>
                </c:pt>
                <c:pt idx="7">
                  <c:v>0.5</c:v>
                </c:pt>
              </c:numCache>
            </c:numRef>
          </c:xVal>
          <c:yVal>
            <c:numRef>
              <c:f>Pearson!$C$18:$C$25</c:f>
              <c:numCache>
                <c:formatCode>0%</c:formatCode>
                <c:ptCount val="8"/>
                <c:pt idx="0">
                  <c:v>0.05</c:v>
                </c:pt>
                <c:pt idx="1">
                  <c:v>0.08</c:v>
                </c:pt>
                <c:pt idx="2">
                  <c:v>0.25</c:v>
                </c:pt>
                <c:pt idx="3">
                  <c:v>0.47</c:v>
                </c:pt>
                <c:pt idx="4">
                  <c:v>0.35</c:v>
                </c:pt>
                <c:pt idx="5">
                  <c:v>0.66</c:v>
                </c:pt>
                <c:pt idx="6">
                  <c:v>0.19</c:v>
                </c:pt>
                <c:pt idx="7">
                  <c:v>0.19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Pearson!$A$18:$A$25</c15:f>
                <c15:dlblRangeCache>
                  <c:ptCount val="8"/>
                  <c:pt idx="0">
                    <c:v>D1</c:v>
                  </c:pt>
                  <c:pt idx="1">
                    <c:v>D2</c:v>
                  </c:pt>
                  <c:pt idx="2">
                    <c:v>D3</c:v>
                  </c:pt>
                  <c:pt idx="3">
                    <c:v>D4</c:v>
                  </c:pt>
                  <c:pt idx="4">
                    <c:v>CS1</c:v>
                  </c:pt>
                  <c:pt idx="5">
                    <c:v>CS2</c:v>
                  </c:pt>
                  <c:pt idx="6">
                    <c:v>CS3</c:v>
                  </c:pt>
                  <c:pt idx="7">
                    <c:v>CS4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A32D-477E-8381-A2247E4BB8EC}"/>
            </c:ext>
          </c:extLst>
        </c:ser>
        <c:ser>
          <c:idx val="1"/>
          <c:order val="1"/>
          <c:spPr>
            <a:ln w="254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Pearson!$E$3:$E$13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Pearson!$F$3:$F$13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32D-477E-8381-A2247E4BB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082927"/>
        <c:axId val="1346080047"/>
      </c:scatterChart>
      <c:valAx>
        <c:axId val="134608292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Median expert visual assessment scores of facade diversity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080047"/>
        <c:crosses val="autoZero"/>
        <c:crossBetween val="midCat"/>
        <c:majorUnit val="0.1"/>
      </c:valAx>
      <c:valAx>
        <c:axId val="134608004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BIM-based façade diversity evaluation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08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C62951C-7C31-4743-875B-399D68F9287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4FE-48E7-91D2-013C1C10622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798EA1B-9CE5-481E-9B14-A01BE5E361E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4FE-48E7-91D2-013C1C10622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8FC6DEA-6A08-41D3-95C4-B0718DFC71B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4FE-48E7-91D2-013C1C10622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A5349FB-AD11-4570-AD6C-C246927B097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4FE-48E7-91D2-013C1C10622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C621B51-731F-4675-BCAA-1809144CB15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4FE-48E7-91D2-013C1C10622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8FB33A5-6CA9-4C0A-85E9-25B06B5697B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4FE-48E7-91D2-013C1C10622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0149AE1-1B32-49A4-9EF4-0316CDBAFB1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4FE-48E7-91D2-013C1C10622E}"/>
                </c:ext>
              </c:extLst>
            </c:dLbl>
            <c:dLbl>
              <c:idx val="7"/>
              <c:layout>
                <c:manualLayout>
                  <c:x val="2.2222222222222223E-2"/>
                  <c:y val="4.394531249999991E-2"/>
                </c:manualLayout>
              </c:layout>
              <c:tx>
                <c:rich>
                  <a:bodyPr/>
                  <a:lstStyle/>
                  <a:p>
                    <a:fld id="{A5233F27-8C49-49A7-AD42-E8EA8BE509A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4FE-48E7-91D2-013C1C1062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Pearson!$B$26:$B$33</c:f>
              <c:numCache>
                <c:formatCode>0%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0.8</c:v>
                </c:pt>
                <c:pt idx="6">
                  <c:v>0.5</c:v>
                </c:pt>
                <c:pt idx="7">
                  <c:v>0.5</c:v>
                </c:pt>
              </c:numCache>
            </c:numRef>
          </c:xVal>
          <c:yVal>
            <c:numRef>
              <c:f>Pearson!$C$26:$C$33</c:f>
              <c:numCache>
                <c:formatCode>0%</c:formatCode>
                <c:ptCount val="8"/>
                <c:pt idx="0">
                  <c:v>0.03</c:v>
                </c:pt>
                <c:pt idx="1">
                  <c:v>0.09</c:v>
                </c:pt>
                <c:pt idx="2">
                  <c:v>0.21</c:v>
                </c:pt>
                <c:pt idx="3">
                  <c:v>0.22</c:v>
                </c:pt>
                <c:pt idx="4">
                  <c:v>0.28999999999999998</c:v>
                </c:pt>
                <c:pt idx="5">
                  <c:v>0.49</c:v>
                </c:pt>
                <c:pt idx="6">
                  <c:v>0.31</c:v>
                </c:pt>
                <c:pt idx="7">
                  <c:v>0.21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Pearson!$A$26:$A$33</c15:f>
                <c15:dlblRangeCache>
                  <c:ptCount val="8"/>
                  <c:pt idx="0">
                    <c:v>C1</c:v>
                  </c:pt>
                  <c:pt idx="1">
                    <c:v>C2</c:v>
                  </c:pt>
                  <c:pt idx="2">
                    <c:v>C3</c:v>
                  </c:pt>
                  <c:pt idx="3">
                    <c:v>C4</c:v>
                  </c:pt>
                  <c:pt idx="4">
                    <c:v>CS1</c:v>
                  </c:pt>
                  <c:pt idx="5">
                    <c:v>CS2</c:v>
                  </c:pt>
                  <c:pt idx="6">
                    <c:v>CS3</c:v>
                  </c:pt>
                  <c:pt idx="7">
                    <c:v>CS4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B4FE-48E7-91D2-013C1C10622E}"/>
            </c:ext>
          </c:extLst>
        </c:ser>
        <c:ser>
          <c:idx val="1"/>
          <c:order val="1"/>
          <c:spPr>
            <a:ln w="254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Pearson!$E$3:$E$13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Pearson!$F$3:$F$13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4FE-48E7-91D2-013C1C106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643311"/>
        <c:axId val="1120646671"/>
      </c:scatterChart>
      <c:valAx>
        <c:axId val="112064331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Median expert visual assessment scores of facade complexity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46671"/>
        <c:crosses val="autoZero"/>
        <c:crossBetween val="midCat"/>
        <c:majorUnit val="0.1"/>
      </c:valAx>
      <c:valAx>
        <c:axId val="112064667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BIM-based façade complexity  evaluation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4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156210</xdr:rowOff>
    </xdr:from>
    <xdr:to>
      <xdr:col>10</xdr:col>
      <xdr:colOff>457200</xdr:colOff>
      <xdr:row>22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FFC792-E6F9-122D-6F36-23A9A7B4F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165463</xdr:colOff>
      <xdr:row>1</xdr:row>
      <xdr:rowOff>87630</xdr:rowOff>
    </xdr:from>
    <xdr:to>
      <xdr:col>15</xdr:col>
      <xdr:colOff>470263</xdr:colOff>
      <xdr:row>17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CD90DD-2458-E094-FC27-0D5D260CB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165463</xdr:colOff>
      <xdr:row>18</xdr:row>
      <xdr:rowOff>102870</xdr:rowOff>
    </xdr:from>
    <xdr:to>
      <xdr:col>15</xdr:col>
      <xdr:colOff>470263</xdr:colOff>
      <xdr:row>35</xdr:row>
      <xdr:rowOff>544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27492E-1F79-AA27-5F86-D791823A3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576943</xdr:colOff>
      <xdr:row>1</xdr:row>
      <xdr:rowOff>102870</xdr:rowOff>
    </xdr:from>
    <xdr:to>
      <xdr:col>23</xdr:col>
      <xdr:colOff>272143</xdr:colOff>
      <xdr:row>18</xdr:row>
      <xdr:rowOff>544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DD2793-2BF1-BDEC-E297-70A7ED7CB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584563</xdr:colOff>
      <xdr:row>18</xdr:row>
      <xdr:rowOff>87630</xdr:rowOff>
    </xdr:from>
    <xdr:to>
      <xdr:col>23</xdr:col>
      <xdr:colOff>279763</xdr:colOff>
      <xdr:row>34</xdr:row>
      <xdr:rowOff>148590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7A828F-60B6-222A-C8A3-49BF05360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165463</xdr:colOff>
      <xdr:row>1</xdr:row>
      <xdr:rowOff>87630</xdr:rowOff>
    </xdr:from>
    <xdr:to>
      <xdr:col>15</xdr:col>
      <xdr:colOff>470263</xdr:colOff>
      <xdr:row>17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F58AE1-1E1A-426F-96CF-839F936DE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165463</xdr:colOff>
      <xdr:row>18</xdr:row>
      <xdr:rowOff>102870</xdr:rowOff>
    </xdr:from>
    <xdr:to>
      <xdr:col>15</xdr:col>
      <xdr:colOff>470263</xdr:colOff>
      <xdr:row>35</xdr:row>
      <xdr:rowOff>544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A9540F-E685-4E50-9E64-96B5CB2EF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576943</xdr:colOff>
      <xdr:row>1</xdr:row>
      <xdr:rowOff>102870</xdr:rowOff>
    </xdr:from>
    <xdr:to>
      <xdr:col>23</xdr:col>
      <xdr:colOff>272143</xdr:colOff>
      <xdr:row>18</xdr:row>
      <xdr:rowOff>544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29EA16-3070-495F-B7B8-44590D7DE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584563</xdr:colOff>
      <xdr:row>18</xdr:row>
      <xdr:rowOff>87630</xdr:rowOff>
    </xdr:from>
    <xdr:to>
      <xdr:col>23</xdr:col>
      <xdr:colOff>279763</xdr:colOff>
      <xdr:row>34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23E6A0-BFFB-48CA-8478-9EE540276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50.704201736109" createdVersion="8" refreshedVersion="8" minRefreshableVersion="3" recordCount="35" xr:uid="{16251890-AE55-4787-A448-EF751428DECA}">
  <cacheSource type="worksheet">
    <worksheetSource name="Form_Responses"/>
  </cacheSource>
  <cacheFields count="42">
    <cacheField name="Column2" numFmtId="0">
      <sharedItems containsBlank="1"/>
    </cacheField>
    <cacheField name="Column3" numFmtId="0">
      <sharedItems containsBlank="1"/>
    </cacheField>
    <cacheField name="Column4" numFmtId="0">
      <sharedItems containsBlank="1" containsMixedTypes="1" containsNumber="1" minValue="0.39285714285714285" maxValue="0.5714285714285714"/>
    </cacheField>
    <cacheField name="Column5" numFmtId="0">
      <sharedItems containsBlank="1"/>
    </cacheField>
    <cacheField name="Column6" numFmtId="0">
      <sharedItems containsBlank="1"/>
    </cacheField>
    <cacheField name="Column7" numFmtId="0">
      <sharedItems containsBlank="1"/>
    </cacheField>
    <cacheField name="Column8" numFmtId="0">
      <sharedItems containsBlank="1" count="10">
        <s v="Primary field of work"/>
        <s v="Architectural design"/>
        <s v="Teaching"/>
        <s v="BIM"/>
        <m/>
        <s v="Architectural visualization"/>
        <s v="Working Drawings" u="1"/>
        <s v="Urban Design " u="1"/>
        <s v="Research" u="1"/>
        <s v="Universal design" u="1"/>
      </sharedItems>
    </cacheField>
    <cacheField name="Column9" numFmtId="0">
      <sharedItems containsBlank="1" containsMixedTypes="1" containsNumber="1" containsInteger="1" minValue="14" maxValue="14" count="6">
        <s v="Years of architectural design experience"/>
        <n v="14"/>
        <s v="5-9"/>
        <s v="10-14"/>
        <m/>
        <s v="+14"/>
      </sharedItems>
    </cacheField>
    <cacheField name="Column10" numFmtId="0">
      <sharedItems containsBlank="1"/>
    </cacheField>
    <cacheField name="Column11" numFmtId="0">
      <sharedItems containsBlank="1" count="6">
        <s v="Frequency of façade design involvement "/>
        <s v="Frequently"/>
        <s v="Occasionally"/>
        <s v="Always"/>
        <m/>
        <s v="Rarely" u="1"/>
      </sharedItems>
    </cacheField>
    <cacheField name="Column12" numFmtId="0">
      <sharedItems containsBlank="1" count="12">
        <s v="Level of application and attention to architectural aesthetics in the design process"/>
        <s v="Excellent"/>
        <s v="Very good"/>
        <s v="Good"/>
        <s v="Fair"/>
        <m/>
        <s v="Mean"/>
        <s v="Median"/>
        <s v="Std. Div."/>
        <s v="Ground-truth Results"/>
        <s v="Rank_Humans"/>
        <s v="Rank_GroundTruth"/>
      </sharedItems>
    </cacheField>
    <cacheField name="Column13" numFmtId="0">
      <sharedItems containsBlank="1" containsMixedTypes="1" containsNumber="1" minValue="0.23321120124784814" maxValue="7"/>
    </cacheField>
    <cacheField name="Column14" numFmtId="0">
      <sharedItems containsBlank="1" containsMixedTypes="1" containsNumber="1" minValue="0.1" maxValue="3"/>
    </cacheField>
    <cacheField name="Column15" numFmtId="0">
      <sharedItems containsBlank="1" containsMixedTypes="1" containsNumber="1" minValue="0" maxValue="2"/>
    </cacheField>
    <cacheField name="Column16" numFmtId="0">
      <sharedItems containsBlank="1" containsMixedTypes="1" containsNumber="1" minValue="0.15172324482406302" maxValue="6"/>
    </cacheField>
    <cacheField name="Column17" numFmtId="0">
      <sharedItems containsBlank="1" containsMixedTypes="1" containsNumber="1" minValue="0.16946370914726422" maxValue="3"/>
    </cacheField>
    <cacheField name="Column18" numFmtId="0">
      <sharedItems containsBlank="1" containsMixedTypes="1" containsNumber="1" minValue="0.21589276645984823" maxValue="5.5"/>
    </cacheField>
    <cacheField name="Column19" numFmtId="0">
      <sharedItems containsBlank="1" containsMixedTypes="1" containsNumber="1" minValue="0.22614066670902233" maxValue="5.5"/>
    </cacheField>
    <cacheField name="Column20" numFmtId="0">
      <sharedItems containsBlank="1" containsMixedTypes="1" containsNumber="1" minValue="0" maxValue="1"/>
    </cacheField>
    <cacheField name="Column21" numFmtId="0">
      <sharedItems containsBlank="1" containsMixedTypes="1" containsNumber="1" minValue="0.2" maxValue="6.5"/>
    </cacheField>
    <cacheField name="Column22" numFmtId="0">
      <sharedItems containsBlank="1" containsMixedTypes="1" containsNumber="1" minValue="0" maxValue="3"/>
    </cacheField>
    <cacheField name="Column23" numFmtId="0">
      <sharedItems containsBlank="1" containsMixedTypes="1" containsNumber="1" minValue="0" maxValue="4"/>
    </cacheField>
    <cacheField name="Column24" numFmtId="0">
      <sharedItems containsBlank="1" containsMixedTypes="1" containsNumber="1" minValue="0.16675211484796176" maxValue="4.5"/>
    </cacheField>
    <cacheField name="Column25" numFmtId="0">
      <sharedItems containsBlank="1" containsMixedTypes="1" containsNumber="1" minValue="0.15312509084827869" maxValue="7"/>
    </cacheField>
    <cacheField name="Column26" numFmtId="0">
      <sharedItems containsBlank="1" containsMixedTypes="1" containsNumber="1" minValue="0.22926862533740325" maxValue="7"/>
    </cacheField>
    <cacheField name="Column27" numFmtId="0">
      <sharedItems containsBlank="1" containsMixedTypes="1" containsNumber="1" minValue="0.2" maxValue="7"/>
    </cacheField>
    <cacheField name="Column28" numFmtId="0">
      <sharedItems containsBlank="1" containsMixedTypes="1" containsNumber="1" minValue="0" maxValue="1"/>
    </cacheField>
    <cacheField name="Column29" numFmtId="0">
      <sharedItems containsBlank="1" containsMixedTypes="1" containsNumber="1" minValue="0.08" maxValue="2"/>
    </cacheField>
    <cacheField name="Column30" numFmtId="0">
      <sharedItems containsBlank="1" containsMixedTypes="1" containsNumber="1" minValue="0.1" maxValue="5"/>
    </cacheField>
    <cacheField name="Column31" numFmtId="0">
      <sharedItems containsBlank="1" containsMixedTypes="1" containsNumber="1" minValue="0.19178275934146682" maxValue="7"/>
    </cacheField>
    <cacheField name="Column32" numFmtId="0">
      <sharedItems containsBlank="1" containsMixedTypes="1" containsNumber="1" minValue="0.2" maxValue="6"/>
    </cacheField>
    <cacheField name="Column33" numFmtId="0">
      <sharedItems containsBlank="1" containsMixedTypes="1" containsNumber="1" minValue="0.20113637278185234" maxValue="8"/>
    </cacheField>
    <cacheField name="Column34" numFmtId="0">
      <sharedItems containsBlank="1" containsMixedTypes="1" containsNumber="1" minValue="0.1" maxValue="6"/>
    </cacheField>
    <cacheField name="Column35" numFmtId="0">
      <sharedItems containsBlank="1" containsMixedTypes="1" containsNumber="1" minValue="0" maxValue="4"/>
    </cacheField>
    <cacheField name="Column36" numFmtId="0">
      <sharedItems containsBlank="1" containsMixedTypes="1" containsNumber="1" minValue="0" maxValue="1"/>
    </cacheField>
    <cacheField name="Column37" numFmtId="0">
      <sharedItems containsBlank="1" containsMixedTypes="1" containsNumber="1" minValue="0.09" maxValue="2"/>
    </cacheField>
    <cacheField name="Column38" numFmtId="0">
      <sharedItems containsBlank="1" containsMixedTypes="1" containsNumber="1" minValue="0.1" maxValue="3.5"/>
    </cacheField>
    <cacheField name="Column39" numFmtId="0">
      <sharedItems containsBlank="1" containsMixedTypes="1" containsNumber="1" minValue="0.2" maxValue="5"/>
    </cacheField>
    <cacheField name="Column40" numFmtId="0">
      <sharedItems containsBlank="1" containsMixedTypes="1" containsNumber="1" minValue="0.1" maxValue="7"/>
    </cacheField>
    <cacheField name="Column41" numFmtId="0">
      <sharedItems containsBlank="1" containsMixedTypes="1" containsNumber="1" minValue="0.2" maxValue="8"/>
    </cacheField>
    <cacheField name="Column42" numFmtId="0">
      <sharedItems containsBlank="1" containsMixedTypes="1" containsNumber="1" minValue="0.1" maxValue="7"/>
    </cacheField>
    <cacheField name="Column43" numFmtId="0">
      <sharedItems containsBlank="1" containsMixedTypes="1" containsNumb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Name"/>
    <s v="Gender"/>
    <s v="E-mail"/>
    <s v="Affiliation / Organization"/>
    <s v="Faculty / Institution (if applicable)"/>
    <s v="Department (if applicable)"/>
    <x v="0"/>
    <x v="0"/>
    <s v="Country or region of practice"/>
    <x v="0"/>
    <x v="0"/>
    <s v="Regularity [Facade 1]"/>
    <s v="Regularity [Facade 2]"/>
    <s v="Regularity [Facade 3]"/>
    <s v="Regularity [Facade 1]"/>
    <s v="Regularity [Facade 2]"/>
    <s v="Regularity [Facade 3]"/>
    <s v="Regularity [Facade 4]"/>
    <s v="Balance [Facade 1]"/>
    <s v="Balance [Facade 2]"/>
    <s v="Balance [Facade 3]"/>
    <s v="Balance [Facade 4]"/>
    <s v="Balance [Facade 1]"/>
    <s v="Balance [Facade 2]"/>
    <s v="Balance [Facade 3]"/>
    <s v="Balance [Facade 4]"/>
    <s v="Diversity [Facade 1]"/>
    <s v="Diversity [Facade 2]"/>
    <s v="Diversity [Facade 3]"/>
    <s v="Diversity [Facade 4]"/>
    <s v="Diversity [Facade 1]"/>
    <s v="Diversity [Facade 2]"/>
    <s v="Diversity [Facade 3]"/>
    <s v="Diversity [Facade 4]"/>
    <s v="Complexity [Facade 1]"/>
    <s v="Complexity [Facade 2]"/>
    <s v="Complexity [Facade 3]"/>
    <s v="Complexity [Facade 4]"/>
    <s v="Complexity [Facade 1]"/>
    <s v="Complexity [Facade 2]"/>
    <s v="Complexity [Facade 3]"/>
    <s v="Complexity [Facade 4]"/>
  </r>
  <r>
    <s v="صفاء لطفي حسن"/>
    <s v="Female"/>
    <s v="safaalht@gmail.com"/>
    <s v="شركة مصر للتعمير ش م م"/>
    <s v="المعهد العالي للسينما"/>
    <s v="هندسة مناظر"/>
    <x v="1"/>
    <x v="1"/>
    <s v="Egypt"/>
    <x v="1"/>
    <x v="1"/>
    <n v="1"/>
    <n v="0.6"/>
    <n v="0.4"/>
    <n v="0.8"/>
    <n v="0.5"/>
    <n v="0.9"/>
    <n v="0.8"/>
    <n v="1"/>
    <n v="1"/>
    <n v="0.5"/>
    <n v="0.6"/>
    <n v="1"/>
    <n v="1"/>
    <n v="1"/>
    <n v="1"/>
    <n v="0"/>
    <n v="0.4"/>
    <n v="0.5"/>
    <n v="1"/>
    <n v="1"/>
    <n v="1"/>
    <n v="1"/>
    <n v="1"/>
    <n v="0"/>
    <n v="0.4"/>
    <n v="0.7"/>
    <n v="0.7"/>
    <n v="0.8"/>
    <n v="1"/>
    <n v="1"/>
    <n v="1"/>
  </r>
  <r>
    <s v="علاء الحسيني"/>
    <s v="Male"/>
    <m/>
    <s v="شركة مصر للتعمير ش م م"/>
    <s v="كلية الهندسة جامعة الإسكندرية"/>
    <s v="Architecture "/>
    <x v="1"/>
    <x v="1"/>
    <s v="Egypt-Saudi Arabia-Kuwait"/>
    <x v="2"/>
    <x v="2"/>
    <n v="1"/>
    <n v="0.1"/>
    <n v="0"/>
    <n v="1"/>
    <n v="1"/>
    <n v="1"/>
    <n v="1"/>
    <n v="0.1"/>
    <n v="0.5"/>
    <n v="0.1"/>
    <n v="0.1"/>
    <n v="1"/>
    <n v="1"/>
    <n v="0.6"/>
    <n v="1"/>
    <n v="0.1"/>
    <n v="0.5"/>
    <n v="0.6"/>
    <n v="1"/>
    <n v="0.6"/>
    <n v="1"/>
    <n v="1"/>
    <n v="0.6"/>
    <n v="0"/>
    <n v="0.5"/>
    <n v="0.5"/>
    <n v="0.5"/>
    <n v="1"/>
    <n v="0.6"/>
    <n v="0.5"/>
    <n v="0.5"/>
  </r>
  <r>
    <s v="سلمى سيد"/>
    <s v="Female"/>
    <m/>
    <s v="شركة مصر للتعمير ش م م"/>
    <s v="كلية الهندسة جامعة القاهرة"/>
    <s v="Architecture "/>
    <x v="1"/>
    <x v="2"/>
    <s v="Egypt"/>
    <x v="2"/>
    <x v="2"/>
    <n v="1"/>
    <n v="0.9"/>
    <n v="0.3"/>
    <n v="1"/>
    <n v="0.7"/>
    <n v="1"/>
    <n v="1"/>
    <n v="0.6"/>
    <n v="0.9"/>
    <n v="0.3"/>
    <n v="0.3"/>
    <n v="1"/>
    <n v="1"/>
    <n v="1"/>
    <n v="1"/>
    <n v="0"/>
    <n v="0.1"/>
    <n v="0.3"/>
    <n v="0.6"/>
    <n v="0.7"/>
    <n v="0.9"/>
    <n v="0.6"/>
    <n v="0.6"/>
    <n v="0"/>
    <n v="0.2"/>
    <n v="0.3"/>
    <n v="0.4"/>
    <n v="0.7"/>
    <n v="0.9"/>
    <n v="0.6"/>
    <n v="0.7"/>
  </r>
  <r>
    <s v="محمد عبد الباقي محمد إبراهيم"/>
    <s v="Male"/>
    <s v="info@cpas-egypt.com"/>
    <s v="كلية الهندسة جامعة عين شمس"/>
    <s v="الهندسة"/>
    <s v="Architecture "/>
    <x v="2"/>
    <x v="1"/>
    <s v="Egypt"/>
    <x v="1"/>
    <x v="2"/>
    <n v="1"/>
    <n v="0.8"/>
    <n v="0.7"/>
    <n v="0.8"/>
    <n v="0.7"/>
    <n v="0.9"/>
    <n v="1"/>
    <n v="0.7"/>
    <n v="1"/>
    <n v="0.6"/>
    <n v="0.9"/>
    <n v="0.8"/>
    <n v="0.7"/>
    <n v="1"/>
    <n v="1"/>
    <n v="0"/>
    <n v="0.2"/>
    <n v="0.3"/>
    <n v="0.9"/>
    <n v="0.7"/>
    <n v="0.5"/>
    <n v="0.2"/>
    <n v="0.1"/>
    <n v="0.1"/>
    <n v="0.4"/>
    <n v="0.9"/>
    <n v="1"/>
    <n v="0.7"/>
    <n v="0.9"/>
    <n v="0.6"/>
    <n v="0.2"/>
  </r>
  <r>
    <s v="مريم حاتم فتح الله حامد"/>
    <s v="Female"/>
    <s v="marioma.hatem2002@gmail.com"/>
    <s v="مركز الدراسات التخطيطية والمعمارية"/>
    <s v="الهندسة جامعة عين شمس"/>
    <s v="Architecture "/>
    <x v="1"/>
    <x v="2"/>
    <s v="Egypt (Cairo)"/>
    <x v="1"/>
    <x v="2"/>
    <n v="1"/>
    <n v="0.9"/>
    <n v="0.8"/>
    <n v="0.9"/>
    <n v="0.7"/>
    <n v="0.9"/>
    <n v="1"/>
    <n v="0.4"/>
    <n v="0.6"/>
    <n v="0.6"/>
    <n v="0.7"/>
    <n v="1"/>
    <n v="0.6"/>
    <n v="1"/>
    <n v="1"/>
    <n v="0.2"/>
    <n v="0.4"/>
    <n v="0.9"/>
    <n v="1"/>
    <n v="0.4"/>
    <n v="1"/>
    <n v="0.8"/>
    <n v="0.6"/>
    <n v="0.1"/>
    <n v="0.6"/>
    <n v="0.8"/>
    <n v="0.9"/>
    <n v="0.3"/>
    <n v="1"/>
    <n v="0.8"/>
    <n v="0.6"/>
  </r>
  <r>
    <s v="يوستينا طارق بشاي"/>
    <s v="Female"/>
    <s v="otina.tareko@gmail.com"/>
    <s v="مركز الدراسات التخطيطية والمعمارية"/>
    <s v="الهندسة جامعة حلوان"/>
    <s v="Architecture "/>
    <x v="1"/>
    <x v="2"/>
    <s v="Egypt (Cairo)"/>
    <x v="1"/>
    <x v="2"/>
    <n v="1"/>
    <n v="0.8"/>
    <n v="0.2"/>
    <n v="0.9"/>
    <n v="0.8"/>
    <n v="0.9"/>
    <n v="1"/>
    <n v="0"/>
    <n v="1"/>
    <n v="0.2"/>
    <n v="0.8"/>
    <n v="0.9"/>
    <n v="1"/>
    <n v="1"/>
    <n v="1"/>
    <n v="0"/>
    <n v="0.1"/>
    <n v="0.5"/>
    <n v="0.6"/>
    <n v="0.7"/>
    <n v="1"/>
    <n v="0.6"/>
    <n v="0.5"/>
    <n v="0"/>
    <n v="0.2"/>
    <n v="0.3"/>
    <n v="0.5"/>
    <n v="0.6"/>
    <n v="1"/>
    <n v="0.5"/>
    <n v="0.5"/>
  </r>
  <r>
    <s v="نسمة محمود حجازي"/>
    <s v="Female"/>
    <m/>
    <s v="مركز الدراسات التخطيطية والمعمارية"/>
    <s v="الهندسة جامعة سيناء"/>
    <s v="Architecture "/>
    <x v="1"/>
    <x v="3"/>
    <s v="Egypt"/>
    <x v="3"/>
    <x v="2"/>
    <n v="0.7"/>
    <n v="0.7"/>
    <n v="0.4"/>
    <n v="0.7"/>
    <n v="0.9"/>
    <n v="0.4"/>
    <n v="0.4"/>
    <n v="0.5"/>
    <n v="0.6"/>
    <n v="0.2"/>
    <n v="0.4"/>
    <n v="0.7"/>
    <n v="0.8"/>
    <n v="0.3"/>
    <n v="0.3"/>
    <m/>
    <n v="0.6"/>
    <n v="0.7"/>
    <n v="0.9"/>
    <n v="0.8"/>
    <n v="1"/>
    <n v="0.6"/>
    <n v="0.4"/>
    <n v="0.3"/>
    <n v="0.5"/>
    <n v="0.8"/>
    <n v="0.6"/>
    <n v="0.9"/>
    <n v="0.7"/>
    <n v="0.3"/>
    <n v="0.3"/>
  </r>
  <r>
    <s v="صلاح الدين هشام"/>
    <s v="Male"/>
    <s v="salahhesham70@gmail.com"/>
    <s v="MAS Engineering Consultat Group"/>
    <s v="الفنون الجميله قسم عماره جامعه حلوان"/>
    <s v="Architecture "/>
    <x v="3"/>
    <x v="2"/>
    <s v="Egypt (Cairo)"/>
    <x v="2"/>
    <x v="3"/>
    <n v="1"/>
    <n v="0.9"/>
    <n v="0.5"/>
    <n v="1"/>
    <n v="0.9"/>
    <n v="1"/>
    <n v="1"/>
    <n v="0.4"/>
    <n v="0.8"/>
    <n v="0.6"/>
    <n v="0.7"/>
    <n v="0.9"/>
    <n v="1"/>
    <n v="0.8"/>
    <n v="0.8"/>
    <n v="0.1"/>
    <n v="0.3"/>
    <n v="0.7"/>
    <n v="0.9"/>
    <n v="0.9"/>
    <n v="1"/>
    <n v="0.6"/>
    <n v="0.7"/>
    <n v="0.2"/>
    <n v="0.6"/>
    <n v="0.8"/>
    <n v="1"/>
    <n v="0.8"/>
    <n v="1"/>
    <n v="0.6"/>
    <n v="0.6"/>
  </r>
  <r>
    <s v="ريهام"/>
    <s v="Female"/>
    <s v="Rehamashour92@gmail.com "/>
    <s v="ECG"/>
    <s v="هندسه"/>
    <s v="Architecture "/>
    <x v="1"/>
    <x v="3"/>
    <s v="Egypt (Assiut)"/>
    <x v="2"/>
    <x v="2"/>
    <n v="1"/>
    <n v="0.8"/>
    <n v="0"/>
    <n v="1"/>
    <n v="1"/>
    <n v="1"/>
    <n v="1"/>
    <n v="0.5"/>
    <n v="0.9"/>
    <n v="0.4"/>
    <n v="0.4"/>
    <n v="1"/>
    <n v="1"/>
    <n v="0.8"/>
    <n v="0.8"/>
    <n v="1"/>
    <n v="0.5"/>
    <n v="0.8"/>
    <n v="0.9"/>
    <n v="0.9"/>
    <n v="1"/>
    <n v="0.7"/>
    <n v="0.5"/>
    <n v="0.1"/>
    <n v="0.3"/>
    <n v="0.5"/>
    <n v="0.7"/>
    <n v="0.8"/>
    <n v="1"/>
    <n v="0.5"/>
    <n v="0.3"/>
  </r>
  <r>
    <s v="Nehad Rashad"/>
    <s v="Female"/>
    <s v="nehadrashad3793@gmail.com"/>
    <s v="HRZN"/>
    <s v="Engineering "/>
    <s v="Architecture "/>
    <x v="3"/>
    <x v="3"/>
    <s v="Egypt "/>
    <x v="3"/>
    <x v="1"/>
    <n v="0.4"/>
    <n v="0.2"/>
    <n v="0.1"/>
    <n v="0.4"/>
    <n v="0.3"/>
    <n v="0.4"/>
    <n v="0.4"/>
    <n v="0"/>
    <n v="0.4"/>
    <n v="0"/>
    <n v="0"/>
    <n v="0.4"/>
    <n v="0.4"/>
    <n v="0.3"/>
    <n v="0.2"/>
    <n v="0"/>
    <n v="0.1"/>
    <n v="0.1"/>
    <n v="0.4"/>
    <n v="0.4"/>
    <n v="0.4"/>
    <n v="0.2"/>
    <n v="0.2"/>
    <n v="0"/>
    <n v="0.1"/>
    <n v="0.1"/>
    <n v="0.2"/>
    <n v="0.1"/>
    <n v="0.2"/>
    <n v="0.1"/>
    <n v="0.1"/>
  </r>
  <r>
    <s v="Basma Ahmed Abdelhalim "/>
    <s v="Female"/>
    <s v="Basma9494@gmail.com "/>
    <s v="ECG"/>
    <s v="الهندسة "/>
    <s v="Architecture "/>
    <x v="1"/>
    <x v="2"/>
    <s v="Egypt"/>
    <x v="2"/>
    <x v="3"/>
    <n v="1"/>
    <n v="0.8"/>
    <n v="0.4"/>
    <n v="1"/>
    <n v="0.7"/>
    <n v="1"/>
    <n v="1"/>
    <n v="0.4"/>
    <n v="1"/>
    <n v="0.7"/>
    <n v="0.9"/>
    <n v="0.8"/>
    <n v="1"/>
    <n v="1"/>
    <n v="1"/>
    <n v="0"/>
    <n v="0.2"/>
    <n v="0.4"/>
    <n v="0.8"/>
    <n v="0.7"/>
    <n v="1"/>
    <n v="0.6"/>
    <n v="0.5"/>
    <n v="0"/>
    <n v="0.3"/>
    <n v="0.5"/>
    <n v="0.8"/>
    <n v="0.7"/>
    <n v="1"/>
    <n v="0.6"/>
    <n v="0.6"/>
  </r>
  <r>
    <s v="عبدالحافظ محمد محمد"/>
    <s v="Male"/>
    <s v="bdalhafzm465@gmail.com"/>
    <s v="مكتب H-DESIGN لتراخيص البناء"/>
    <s v="كلية الهندسة جامعة اسيوط"/>
    <s v="Architecture "/>
    <x v="1"/>
    <x v="2"/>
    <s v="Egypt (Cairo)"/>
    <x v="2"/>
    <x v="4"/>
    <n v="1"/>
    <n v="1"/>
    <n v="0"/>
    <n v="1"/>
    <n v="0.9"/>
    <n v="1"/>
    <n v="1"/>
    <n v="0"/>
    <n v="1"/>
    <n v="0.4"/>
    <n v="0.1"/>
    <n v="0.8"/>
    <n v="0.9"/>
    <n v="1"/>
    <n v="1"/>
    <n v="0"/>
    <n v="0.2"/>
    <n v="0.4"/>
    <n v="0.6"/>
    <n v="0.3"/>
    <n v="0.4"/>
    <n v="0.4"/>
    <n v="0.4"/>
    <n v="0"/>
    <n v="0.1"/>
    <n v="0.2"/>
    <n v="0.5"/>
    <n v="0.2"/>
    <n v="0.6"/>
    <n v="0.4"/>
    <n v="0.5"/>
  </r>
  <r>
    <s v="Samouel salah"/>
    <s v="Male"/>
    <s v="samouel.salah2012@gmail.com"/>
    <s v="ECG"/>
    <s v="Architectural engineer"/>
    <s v="Architecture "/>
    <x v="3"/>
    <x v="3"/>
    <s v="Egypt"/>
    <x v="1"/>
    <x v="2"/>
    <n v="0.3"/>
    <n v="0.5"/>
    <n v="0.7"/>
    <n v="1"/>
    <n v="1"/>
    <n v="1"/>
    <n v="1"/>
    <n v="0"/>
    <n v="0.8"/>
    <n v="0.5"/>
    <n v="0.7"/>
    <n v="0.7"/>
    <n v="0.8"/>
    <n v="0.9"/>
    <n v="0.9"/>
    <n v="0"/>
    <n v="0.2"/>
    <n v="0.3"/>
    <n v="0.5"/>
    <n v="0.2"/>
    <n v="0.6"/>
    <n v="0.5"/>
    <n v="0.5"/>
    <n v="0.1"/>
    <n v="0.2"/>
    <n v="0.4"/>
    <n v="0.5"/>
    <n v="0.4"/>
    <n v="0.7"/>
    <n v="0.4"/>
    <n v="0.2"/>
  </r>
  <r>
    <s v="Dina Ismail "/>
    <s v="Female"/>
    <s v="dinaismail1992@yahoo.com"/>
    <s v="ECG"/>
    <s v="الهندسه "/>
    <s v="Architecture "/>
    <x v="1"/>
    <x v="3"/>
    <s v="Egypt"/>
    <x v="2"/>
    <x v="3"/>
    <n v="1"/>
    <n v="0.8"/>
    <n v="0.3"/>
    <n v="1"/>
    <n v="1"/>
    <n v="1"/>
    <n v="1"/>
    <n v="0.4"/>
    <n v="0.8"/>
    <n v="0.6"/>
    <n v="0.7"/>
    <n v="1"/>
    <n v="1"/>
    <n v="1"/>
    <n v="1"/>
    <n v="0.1"/>
    <n v="0.3"/>
    <n v="0.6"/>
    <n v="0.9"/>
    <n v="0.5"/>
    <n v="0.8"/>
    <n v="0.6"/>
    <n v="0.5"/>
    <n v="0"/>
    <n v="0.2"/>
    <n v="0.4"/>
    <n v="0.6"/>
    <n v="0.7"/>
    <n v="0.9"/>
    <n v="0.6"/>
    <n v="0.5"/>
  </r>
  <r>
    <s v="Ãlaa"/>
    <s v="Female"/>
    <s v="Nabilalaa70@gmail.com"/>
    <s v="شركة هندسية"/>
    <m/>
    <m/>
    <x v="1"/>
    <x v="3"/>
    <s v="Egypt"/>
    <x v="2"/>
    <x v="2"/>
    <n v="1"/>
    <n v="1"/>
    <n v="0"/>
    <n v="1"/>
    <n v="0.9"/>
    <n v="0.9"/>
    <n v="1"/>
    <n v="0.3"/>
    <n v="1"/>
    <n v="0.3"/>
    <n v="0.7"/>
    <n v="1"/>
    <n v="0.7"/>
    <n v="1"/>
    <n v="1"/>
    <n v="0.2"/>
    <n v="0.4"/>
    <n v="0.5"/>
    <n v="0.9"/>
    <n v="0.3"/>
    <n v="0.8"/>
    <n v="0.6"/>
    <n v="0.3"/>
    <n v="0"/>
    <n v="0.1"/>
    <n v="0.3"/>
    <n v="0.5"/>
    <n v="0.3"/>
    <n v="0.9"/>
    <n v="0.2"/>
    <n v="0"/>
  </r>
  <r>
    <s v="Yomna Thabet"/>
    <s v="Female"/>
    <s v="yomnaaahmed@gmail.com"/>
    <s v="Azizi developments"/>
    <s v="Faculty of engineering assiut university"/>
    <s v="Architecture"/>
    <x v="1"/>
    <x v="3"/>
    <s v="Dubai"/>
    <x v="1"/>
    <x v="2"/>
    <n v="1"/>
    <n v="0.9"/>
    <n v="0.5"/>
    <n v="0.9"/>
    <n v="0.9"/>
    <n v="1"/>
    <n v="1"/>
    <n v="0.6"/>
    <n v="0.8"/>
    <n v="0.7"/>
    <n v="0.8"/>
    <n v="0.6"/>
    <n v="0.9"/>
    <n v="0.7"/>
    <n v="0.8"/>
    <n v="0"/>
    <n v="0.2"/>
    <n v="0.5"/>
    <n v="0.8"/>
    <n v="0.2"/>
    <n v="0.9"/>
    <n v="0.1"/>
    <n v="0.1"/>
    <n v="0"/>
    <n v="0.1"/>
    <n v="0.3"/>
    <n v="0.5"/>
    <n v="0.1"/>
    <n v="0.9"/>
    <n v="0.3"/>
    <n v="0.5"/>
  </r>
  <r>
    <s v="حنان هاشم "/>
    <s v="Female"/>
    <s v="archhananhashem4@gmail.com "/>
    <s v="Senior Architect at Horizons architects and Engineers Assiut Branch "/>
    <s v="كلية الهندسة المعمارية جامعة اسيوط"/>
    <s v="Architecture "/>
    <x v="1"/>
    <x v="2"/>
    <s v="Egypt"/>
    <x v="3"/>
    <x v="3"/>
    <n v="1"/>
    <n v="1"/>
    <n v="0"/>
    <n v="0.9"/>
    <n v="0.8"/>
    <n v="1"/>
    <n v="1"/>
    <n v="0"/>
    <n v="1"/>
    <n v="0"/>
    <n v="0.6"/>
    <n v="1"/>
    <n v="1"/>
    <n v="1"/>
    <n v="1"/>
    <n v="0"/>
    <n v="0.1"/>
    <n v="0.3"/>
    <n v="0.6"/>
    <n v="0.3"/>
    <n v="0.7"/>
    <n v="0.1"/>
    <n v="0"/>
    <n v="0"/>
    <n v="0.1"/>
    <n v="0.1"/>
    <n v="0.2"/>
    <n v="0.1"/>
    <n v="0.5"/>
    <n v="0.1"/>
    <n v="0.1"/>
  </r>
  <r>
    <m/>
    <m/>
    <m/>
    <m/>
    <m/>
    <m/>
    <x v="4"/>
    <x v="4"/>
    <m/>
    <x v="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رانيا احمد"/>
    <s v="Female"/>
    <s v="raniaahmedali66@gmail.com"/>
    <s v="معارض الدكتور "/>
    <s v="هندسة"/>
    <s v="Architecture "/>
    <x v="1"/>
    <x v="2"/>
    <s v="Egypt (Assiut)"/>
    <x v="2"/>
    <x v="1"/>
    <n v="1"/>
    <n v="0.9"/>
    <n v="0.1"/>
    <n v="1"/>
    <n v="0.9"/>
    <n v="1"/>
    <n v="1"/>
    <n v="0.3"/>
    <n v="0.2"/>
    <n v="0.2"/>
    <n v="0.1"/>
    <n v="0.6"/>
    <n v="1"/>
    <n v="0.9"/>
    <n v="0.9"/>
    <n v="0"/>
    <n v="0.1"/>
    <n v="0.2"/>
    <n v="0.6"/>
    <n v="0.2"/>
    <n v="0.8"/>
    <n v="0.7"/>
    <n v="0.2"/>
    <n v="0"/>
    <n v="0.2"/>
    <n v="0.3"/>
    <n v="0.5"/>
    <n v="0.3"/>
    <n v="0.6"/>
    <n v="0.4"/>
    <n v="0.3"/>
  </r>
  <r>
    <s v="محمد ابودنيا"/>
    <s v="Male"/>
    <s v="medowolf201050@gmail.com"/>
    <s v="MOH Designs &amp; Visualizations"/>
    <s v="كلية الهندسه جامعه اسيوط"/>
    <s v="Architecture "/>
    <x v="5"/>
    <x v="2"/>
    <s v="Saudi Arabia"/>
    <x v="1"/>
    <x v="2"/>
    <n v="0.3"/>
    <n v="0.8"/>
    <n v="1"/>
    <n v="0.8"/>
    <n v="0.9"/>
    <n v="1"/>
    <n v="1"/>
    <n v="0.2"/>
    <n v="1"/>
    <n v="0.6"/>
    <n v="0.7"/>
    <n v="1"/>
    <n v="1"/>
    <n v="1"/>
    <n v="1"/>
    <n v="0"/>
    <n v="0.1"/>
    <n v="0.4"/>
    <n v="0.6"/>
    <n v="0.3"/>
    <n v="0.5"/>
    <n v="0.4"/>
    <n v="0.3"/>
    <n v="0.1"/>
    <n v="0.3"/>
    <n v="0.4"/>
    <n v="0.5"/>
    <n v="0.3"/>
    <n v="0.7"/>
    <n v="0.6"/>
    <n v="0.5"/>
  </r>
  <r>
    <s v="Hesham Ismael"/>
    <s v="Male"/>
    <s v="h.ismail@ndg-architects.com"/>
    <s v="NDG"/>
    <m/>
    <m/>
    <x v="3"/>
    <x v="5"/>
    <s v="Egypt"/>
    <x v="2"/>
    <x v="2"/>
    <n v="1"/>
    <n v="0.7"/>
    <n v="0.4"/>
    <n v="1"/>
    <n v="1"/>
    <n v="1"/>
    <n v="1"/>
    <n v="0.2"/>
    <n v="1"/>
    <n v="0.5"/>
    <n v="0.7"/>
    <n v="1"/>
    <n v="1"/>
    <n v="1"/>
    <n v="1"/>
    <n v="0.2"/>
    <n v="0.3"/>
    <n v="0.7"/>
    <n v="1"/>
    <n v="0.8"/>
    <n v="1"/>
    <n v="0.6"/>
    <n v="0.5"/>
    <n v="0"/>
    <n v="0.2"/>
    <n v="0.3"/>
    <n v="0.4"/>
    <n v="0.7"/>
    <n v="0.8"/>
    <n v="0.6"/>
    <n v="0.6"/>
  </r>
  <r>
    <s v="Shreif Ayman"/>
    <s v="Male"/>
    <s v="shreif.ayman93@hotmail.com"/>
    <s v="Al Basateen real estate company"/>
    <s v="Modern Academy"/>
    <s v="Architecture "/>
    <x v="1"/>
    <x v="3"/>
    <s v="Saudi Arabia"/>
    <x v="2"/>
    <x v="3"/>
    <n v="1"/>
    <n v="1"/>
    <n v="0.7"/>
    <n v="1"/>
    <n v="0.9"/>
    <n v="1"/>
    <n v="1"/>
    <n v="0"/>
    <n v="1"/>
    <n v="0.4"/>
    <n v="0.8"/>
    <n v="1"/>
    <n v="1"/>
    <n v="1"/>
    <n v="1"/>
    <n v="0"/>
    <n v="0.2"/>
    <n v="0.2"/>
    <n v="0.6"/>
    <n v="0.4"/>
    <n v="0.6"/>
    <n v="0.4"/>
    <n v="0.3"/>
    <n v="0.1"/>
    <n v="0.3"/>
    <n v="0.5"/>
    <n v="0.7"/>
    <n v="0.7"/>
    <n v="0.8"/>
    <n v="0.5"/>
    <n v="0.6"/>
  </r>
  <r>
    <s v="Marwa "/>
    <s v="Female"/>
    <s v="Marwa.morad998@gmail.com"/>
    <s v="ECG"/>
    <s v="Engineering"/>
    <s v="Architecture "/>
    <x v="3"/>
    <x v="2"/>
    <s v="Egypt"/>
    <x v="2"/>
    <x v="2"/>
    <n v="1"/>
    <n v="0.9"/>
    <n v="0.2"/>
    <n v="1"/>
    <n v="1"/>
    <n v="1"/>
    <n v="1"/>
    <n v="0.2"/>
    <n v="1"/>
    <n v="0.3"/>
    <n v="0.6"/>
    <n v="1"/>
    <n v="1"/>
    <n v="1"/>
    <n v="1"/>
    <n v="0"/>
    <n v="0.1"/>
    <n v="0.5"/>
    <n v="0.7"/>
    <n v="0.3"/>
    <n v="0.9"/>
    <n v="0.2"/>
    <n v="0.1"/>
    <n v="0"/>
    <n v="0.1"/>
    <n v="0.2"/>
    <n v="0.3"/>
    <n v="0.1"/>
    <n v="0.5"/>
    <n v="0.1"/>
    <n v="0.2"/>
  </r>
  <r>
    <s v="Aya Khaled"/>
    <s v="Female"/>
    <s v="ayakhaledelsebaee@gmail.com"/>
    <s v="SBG"/>
    <s v="MTI University - Helwan University "/>
    <s v="Architecture "/>
    <x v="1"/>
    <x v="2"/>
    <s v="Egypt "/>
    <x v="2"/>
    <x v="2"/>
    <n v="0.5"/>
    <n v="0.9"/>
    <n v="0.2"/>
    <n v="0.8"/>
    <n v="0.6"/>
    <n v="0.3"/>
    <n v="0.3"/>
    <n v="0.1"/>
    <n v="0.2"/>
    <n v="0"/>
    <n v="0.1"/>
    <n v="0.9"/>
    <n v="0.8"/>
    <n v="0.6"/>
    <n v="0.6"/>
    <n v="0"/>
    <n v="0.1"/>
    <n v="0.8"/>
    <n v="0.9"/>
    <n v="0.9"/>
    <n v="1"/>
    <n v="0.7"/>
    <n v="0.7"/>
    <n v="0"/>
    <n v="0.4"/>
    <n v="0.8"/>
    <n v="0.9"/>
    <n v="0.8"/>
    <n v="0.9"/>
    <n v="0.6"/>
    <n v="0.4"/>
  </r>
  <r>
    <s v="Noran Helal"/>
    <s v="Female"/>
    <s v="noranhelal999@gmail.com"/>
    <s v="Cairo University "/>
    <s v="Engineering faculty "/>
    <s v="Architecture "/>
    <x v="1"/>
    <x v="2"/>
    <s v="Egypt"/>
    <x v="1"/>
    <x v="3"/>
    <n v="1"/>
    <n v="0.6"/>
    <n v="0.1"/>
    <n v="0.7"/>
    <n v="0.8"/>
    <n v="0.7"/>
    <n v="0.9"/>
    <n v="0.1"/>
    <n v="0.6"/>
    <n v="0.3"/>
    <n v="0.4"/>
    <n v="0.7"/>
    <n v="0.9"/>
    <n v="0.4"/>
    <n v="0.5"/>
    <n v="0"/>
    <n v="0.2"/>
    <n v="0.4"/>
    <n v="0.8"/>
    <n v="0.5"/>
    <n v="0.8"/>
    <n v="0.2"/>
    <n v="0.3"/>
    <n v="0"/>
    <n v="0.2"/>
    <n v="0.4"/>
    <n v="0.5"/>
    <n v="0.6"/>
    <n v="0.8"/>
    <n v="0.1"/>
    <n v="0.2"/>
  </r>
  <r>
    <s v="Shams serag"/>
    <s v="Male"/>
    <s v="shamsserag@gmail.com"/>
    <s v="Bin ladden saudi company "/>
    <s v="Faculty of fine arts "/>
    <s v="Architecture "/>
    <x v="3"/>
    <x v="2"/>
    <s v="Egypt"/>
    <x v="2"/>
    <x v="1"/>
    <n v="1"/>
    <n v="1"/>
    <n v="0.6"/>
    <n v="1"/>
    <n v="0.8"/>
    <n v="1"/>
    <n v="1"/>
    <n v="0.2"/>
    <n v="0.7"/>
    <n v="0.5"/>
    <n v="0.6"/>
    <n v="0.8"/>
    <n v="1"/>
    <n v="0.9"/>
    <n v="0.8"/>
    <n v="0.1"/>
    <n v="0.4"/>
    <n v="0.6"/>
    <n v="1"/>
    <n v="0.8"/>
    <n v="1"/>
    <n v="1"/>
    <n v="0.9"/>
    <n v="0"/>
    <n v="0.5"/>
    <n v="0.7"/>
    <n v="0.2"/>
    <n v="0.2"/>
    <n v="0.6"/>
    <n v="0.3"/>
    <n v="0.4"/>
  </r>
  <r>
    <s v="Eslam zohree"/>
    <s v="Male"/>
    <s v="eslamzohree@gmail.com"/>
    <s v="NDG"/>
    <s v="BUC"/>
    <m/>
    <x v="1"/>
    <x v="5"/>
    <s v="Cairo"/>
    <x v="3"/>
    <x v="1"/>
    <n v="0.7"/>
    <n v="0.9"/>
    <n v="0.5"/>
    <n v="0.6"/>
    <n v="0.9"/>
    <n v="0.5"/>
    <n v="0.4"/>
    <n v="0.5"/>
    <n v="0.7"/>
    <n v="0.6"/>
    <n v="0.5"/>
    <n v="0.7"/>
    <n v="0.9"/>
    <n v="0.6"/>
    <n v="0.5"/>
    <n v="0.6"/>
    <n v="0.6"/>
    <n v="0.8"/>
    <n v="0.9"/>
    <n v="0.8"/>
    <n v="0.9"/>
    <n v="0.7"/>
    <n v="0.6"/>
    <n v="0.5"/>
    <n v="0.6"/>
    <n v="0.8"/>
    <n v="0.9"/>
    <n v="0.8"/>
    <n v="0.9"/>
    <n v="0.6"/>
    <n v="0.6"/>
  </r>
  <r>
    <s v="Mahmoud salah"/>
    <s v="Male"/>
    <m/>
    <s v="Assiut university"/>
    <s v="Engineering "/>
    <s v="Architecture "/>
    <x v="1"/>
    <x v="2"/>
    <s v="Egypt"/>
    <x v="3"/>
    <x v="1"/>
    <n v="1"/>
    <n v="0.8"/>
    <n v="0.4"/>
    <n v="0.9"/>
    <n v="0.7"/>
    <n v="0.8"/>
    <n v="1"/>
    <n v="0.2"/>
    <n v="1"/>
    <n v="0.4"/>
    <n v="0.5"/>
    <n v="1"/>
    <n v="1"/>
    <n v="1"/>
    <n v="1"/>
    <n v="0"/>
    <n v="0.1"/>
    <n v="0.2"/>
    <n v="0.4"/>
    <n v="0.2"/>
    <n v="0.8"/>
    <n v="0.6"/>
    <n v="0.4"/>
    <n v="0"/>
    <n v="0.2"/>
    <n v="0.3"/>
    <n v="0.4"/>
    <n v="0.3"/>
    <n v="0.7"/>
    <n v="0.5"/>
    <n v="0.6"/>
  </r>
  <r>
    <m/>
    <s v="Male"/>
    <n v="0.39285714285714285"/>
    <m/>
    <m/>
    <m/>
    <x v="4"/>
    <x v="4"/>
    <m/>
    <x v="4"/>
    <x v="6"/>
    <n v="0.88518518518518519"/>
    <n v="0.78518518518518521"/>
    <n v="0.35185185185185186"/>
    <n v="0.89259259259259283"/>
    <n v="0.8222222222222223"/>
    <n v="0.87407407407407411"/>
    <n v="0.89629629629629626"/>
    <n v="0.29259259259259263"/>
    <n v="0.79629629629629628"/>
    <n v="0.38888888888888895"/>
    <n v="0.53333333333333333"/>
    <n v="0.86296296296296304"/>
    <n v="0.90370370370370368"/>
    <n v="0.84444444444444433"/>
    <n v="0.85555555555555574"/>
    <n v="0.1"/>
    <n v="0.25925925925925924"/>
    <n v="0.48888888888888887"/>
    <n v="0.77037037037037026"/>
    <n v="0.54814814814814827"/>
    <n v="0.82592592592592606"/>
    <n v="0.54444444444444429"/>
    <n v="0.43703703703703706"/>
    <n v="5.9259259259259255E-2"/>
    <n v="0.29259259259259257"/>
    <n v="0.46666666666666673"/>
    <n v="0.57037037037037042"/>
    <n v="0.51851851851851849"/>
    <n v="0.78148148148148144"/>
    <n v="0.4592592592592592"/>
    <n v="0.42962962962962953"/>
  </r>
  <r>
    <m/>
    <s v="Female"/>
    <n v="0.5714285714285714"/>
    <m/>
    <m/>
    <m/>
    <x v="4"/>
    <x v="4"/>
    <m/>
    <x v="4"/>
    <x v="7"/>
    <n v="1"/>
    <n v="0.8"/>
    <n v="0.4"/>
    <n v="1"/>
    <n v="0.9"/>
    <n v="1"/>
    <n v="1"/>
    <n v="0.2"/>
    <n v="0.9"/>
    <n v="0.4"/>
    <n v="0.6"/>
    <n v="0.9"/>
    <n v="1"/>
    <n v="1"/>
    <n v="1"/>
    <n v="0"/>
    <n v="0.2"/>
    <n v="0.5"/>
    <n v="0.8"/>
    <n v="0.5"/>
    <n v="0.9"/>
    <n v="0.6"/>
    <n v="0.5"/>
    <n v="0"/>
    <n v="0.2"/>
    <n v="0.4"/>
    <n v="0.5"/>
    <n v="0.6"/>
    <n v="0.8"/>
    <n v="0.5"/>
    <n v="0.5"/>
  </r>
  <r>
    <m/>
    <m/>
    <m/>
    <m/>
    <m/>
    <m/>
    <x v="4"/>
    <x v="4"/>
    <m/>
    <x v="4"/>
    <x v="8"/>
    <n v="0.23321120124784814"/>
    <n v="0.22481394650090261"/>
    <n v="0.2778632347180483"/>
    <n v="0.15172324482406302"/>
    <n v="0.16946370914726422"/>
    <n v="0.21589276645984823"/>
    <n v="0.22614066670902233"/>
    <n v="0.25559271376084908"/>
    <n v="0.24881485467879885"/>
    <n v="0.21363760352762237"/>
    <n v="0.26602486870447056"/>
    <n v="0.16675211484796176"/>
    <n v="0.15312509084827869"/>
    <n v="0.22926862533740325"/>
    <n v="0.23259957889592969"/>
    <n v="0.22449944320643647"/>
    <n v="0.16233692233523583"/>
    <n v="0.21543039806456399"/>
    <n v="0.19178275934146682"/>
    <n v="0.26219542091050818"/>
    <n v="0.20113637278185234"/>
    <n v="0.25919005995502109"/>
    <n v="0.2420237562213646"/>
    <n v="0.1152230587875243"/>
    <n v="0.16853651949817414"/>
    <n v="0.23858557568108954"/>
    <n v="0.23339437540980823"/>
    <n v="0.28694282067370541"/>
    <n v="0.2000712123932131"/>
    <n v="0.22059231324089407"/>
    <n v="0.22328804235236149"/>
  </r>
  <r>
    <m/>
    <m/>
    <m/>
    <m/>
    <m/>
    <m/>
    <x v="4"/>
    <x v="4"/>
    <m/>
    <x v="4"/>
    <x v="9"/>
    <n v="1"/>
    <n v="0.96"/>
    <n v="0.91"/>
    <n v="0.98"/>
    <n v="0.9"/>
    <n v="0.97"/>
    <n v="0.97"/>
    <n v="0"/>
    <n v="1"/>
    <n v="0.6"/>
    <n v="0.76"/>
    <n v="0.51"/>
    <n v="1"/>
    <n v="1"/>
    <n v="1"/>
    <n v="0.05"/>
    <n v="0.08"/>
    <n v="0.25"/>
    <n v="0.47"/>
    <n v="0.35"/>
    <n v="0.66"/>
    <n v="0.19"/>
    <n v="0.19"/>
    <n v="0.03"/>
    <n v="0.09"/>
    <n v="0.21"/>
    <n v="0.22"/>
    <n v="0.28999999999999998"/>
    <n v="0.49"/>
    <n v="0.31"/>
    <n v="0.21"/>
  </r>
  <r>
    <m/>
    <m/>
    <m/>
    <m/>
    <m/>
    <m/>
    <x v="4"/>
    <x v="4"/>
    <m/>
    <x v="4"/>
    <x v="10"/>
    <n v="5.5"/>
    <n v="2"/>
    <n v="1"/>
    <n v="5.5"/>
    <n v="3"/>
    <n v="5.5"/>
    <n v="5.5"/>
    <n v="1"/>
    <n v="4.5"/>
    <n v="2"/>
    <n v="3"/>
    <n v="4.5"/>
    <n v="7"/>
    <n v="7"/>
    <n v="7"/>
    <n v="1"/>
    <n v="2"/>
    <n v="4"/>
    <n v="7"/>
    <n v="4"/>
    <n v="8"/>
    <n v="6"/>
    <n v="4"/>
    <n v="1"/>
    <n v="2"/>
    <n v="3"/>
    <n v="5"/>
    <n v="7"/>
    <n v="8"/>
    <n v="5"/>
    <n v="5"/>
  </r>
  <r>
    <m/>
    <m/>
    <m/>
    <m/>
    <m/>
    <m/>
    <x v="4"/>
    <x v="4"/>
    <m/>
    <x v="4"/>
    <x v="11"/>
    <n v="7"/>
    <n v="3"/>
    <n v="2"/>
    <n v="6"/>
    <n v="1"/>
    <n v="4.5"/>
    <n v="4.5"/>
    <n v="1"/>
    <n v="6.5"/>
    <n v="3"/>
    <n v="4"/>
    <n v="2"/>
    <n v="6.5"/>
    <n v="6.5"/>
    <n v="6.5"/>
    <n v="1"/>
    <n v="2"/>
    <n v="5"/>
    <n v="7"/>
    <n v="6"/>
    <n v="8"/>
    <n v="3.5"/>
    <n v="3.5"/>
    <n v="1"/>
    <n v="2"/>
    <n v="3.5"/>
    <n v="5"/>
    <n v="6"/>
    <n v="8"/>
    <n v="7"/>
    <n v="3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697A4-F948-4E99-9CF1-8C74B23DF5F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8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1"/>
        <item h="1" x="0"/>
        <item m="1" x="8"/>
        <item x="2"/>
        <item m="1" x="9"/>
        <item m="1" x="7"/>
        <item h="1" x="4"/>
        <item x="3"/>
        <item m="1"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3"/>
    </i>
    <i>
      <x v="7"/>
    </i>
    <i>
      <x v="9"/>
    </i>
    <i t="grand">
      <x/>
    </i>
  </rowItems>
  <colItems count="1">
    <i/>
  </colItems>
  <dataFields count="1">
    <dataField name="Count of Column8" fld="6" subtotal="count" showDataAs="percentOfTotal" baseField="0" baseItem="0" numFmtId="10"/>
  </dataFields>
  <formats count="1">
    <format dxfId="32">
      <pivotArea collapsedLevelsAreSubtotals="1" fieldPosition="0">
        <references count="1">
          <reference field="6" count="0"/>
        </references>
      </pivotArea>
    </format>
  </formats>
  <chartFormats count="5"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6:AK40" headerRowCount="0" totalsRowCount="1">
  <tableColumns count="36">
    <tableColumn id="3" xr3:uid="{00000000-0010-0000-0000-000003000000}" name="Column3"/>
    <tableColumn id="8" xr3:uid="{00000000-0010-0000-0000-000008000000}" name="Column8"/>
    <tableColumn id="9" xr3:uid="{00000000-0010-0000-0000-000009000000}" name="Column9"/>
    <tableColumn id="11" xr3:uid="{00000000-0010-0000-0000-00000B000000}" name="Column11"/>
    <tableColumn id="12" xr3:uid="{00000000-0010-0000-0000-00000C000000}" name="Column12" totalsRowLabel="Spearman Correlation" totalsRowDxfId="31"/>
    <tableColumn id="13" xr3:uid="{00000000-0010-0000-0000-00000D000000}" name="Column13" totalsRowFunction="custom" totalsRowDxfId="30" totalsRowCellStyle="Percent">
      <totalsRowFormula>CORREL(G38:M38,G39:M39)</totalsRowFormula>
    </tableColumn>
    <tableColumn id="14" xr3:uid="{00000000-0010-0000-0000-00000E000000}" name="Column14" totalsRowDxfId="29"/>
    <tableColumn id="15" xr3:uid="{00000000-0010-0000-0000-00000F000000}" name="Column15" totalsRowDxfId="28"/>
    <tableColumn id="16" xr3:uid="{00000000-0010-0000-0000-000010000000}" name="Column16" totalsRowDxfId="27"/>
    <tableColumn id="17" xr3:uid="{00000000-0010-0000-0000-000011000000}" name="Column17" totalsRowDxfId="26"/>
    <tableColumn id="18" xr3:uid="{00000000-0010-0000-0000-000012000000}" name="Column18" totalsRowDxfId="25"/>
    <tableColumn id="19" xr3:uid="{00000000-0010-0000-0000-000013000000}" name="Column19" totalsRowDxfId="24"/>
    <tableColumn id="20" xr3:uid="{00000000-0010-0000-0000-000014000000}" name="Column20" totalsRowFunction="custom" totalsRowDxfId="23" totalsRowCellStyle="Percent">
      <totalsRowFormula>CORREL(N38:U38,N39:U39)</totalsRowFormula>
    </tableColumn>
    <tableColumn id="21" xr3:uid="{00000000-0010-0000-0000-000015000000}" name="Column21" totalsRowDxfId="22"/>
    <tableColumn id="22" xr3:uid="{00000000-0010-0000-0000-000016000000}" name="Column22" totalsRowDxfId="21"/>
    <tableColumn id="23" xr3:uid="{00000000-0010-0000-0000-000017000000}" name="Column23" totalsRowDxfId="20"/>
    <tableColumn id="24" xr3:uid="{00000000-0010-0000-0000-000018000000}" name="Column24" totalsRowDxfId="19"/>
    <tableColumn id="25" xr3:uid="{00000000-0010-0000-0000-000019000000}" name="Column25" totalsRowDxfId="18"/>
    <tableColumn id="26" xr3:uid="{00000000-0010-0000-0000-00001A000000}" name="Column26" totalsRowDxfId="17"/>
    <tableColumn id="27" xr3:uid="{00000000-0010-0000-0000-00001B000000}" name="Column27" totalsRowDxfId="16"/>
    <tableColumn id="28" xr3:uid="{00000000-0010-0000-0000-00001C000000}" name="Column28" totalsRowFunction="custom" totalsRowDxfId="15" totalsRowCellStyle="Percent">
      <totalsRowFormula>CORREL(V38:AC38,V39:AC39)</totalsRowFormula>
    </tableColumn>
    <tableColumn id="29" xr3:uid="{00000000-0010-0000-0000-00001D000000}" name="Column29" totalsRowDxfId="14"/>
    <tableColumn id="30" xr3:uid="{00000000-0010-0000-0000-00001E000000}" name="Column30" totalsRowDxfId="13"/>
    <tableColumn id="31" xr3:uid="{00000000-0010-0000-0000-00001F000000}" name="Column31" totalsRowDxfId="12"/>
    <tableColumn id="32" xr3:uid="{00000000-0010-0000-0000-000020000000}" name="Column32" totalsRowDxfId="11"/>
    <tableColumn id="33" xr3:uid="{00000000-0010-0000-0000-000021000000}" name="Column33" totalsRowDxfId="10"/>
    <tableColumn id="34" xr3:uid="{00000000-0010-0000-0000-000022000000}" name="Column34" totalsRowDxfId="9"/>
    <tableColumn id="35" xr3:uid="{00000000-0010-0000-0000-000023000000}" name="Column35" totalsRowDxfId="8"/>
    <tableColumn id="36" xr3:uid="{00000000-0010-0000-0000-000024000000}" name="Column36" totalsRowFunction="custom" totalsRowDxfId="7" totalsRowCellStyle="Percent">
      <totalsRowFormula>CORREL(AD38:AK38,AD39:AK39)</totalsRowFormula>
    </tableColumn>
    <tableColumn id="37" xr3:uid="{00000000-0010-0000-0000-000025000000}" name="Column37" totalsRowDxfId="6"/>
    <tableColumn id="38" xr3:uid="{00000000-0010-0000-0000-000026000000}" name="Column38" totalsRowDxfId="5"/>
    <tableColumn id="39" xr3:uid="{00000000-0010-0000-0000-000027000000}" name="Column39" totalsRowDxfId="4"/>
    <tableColumn id="40" xr3:uid="{00000000-0010-0000-0000-000028000000}" name="Column40" totalsRowDxfId="3"/>
    <tableColumn id="41" xr3:uid="{00000000-0010-0000-0000-000029000000}" name="Column41" totalsRowDxfId="2"/>
    <tableColumn id="42" xr3:uid="{00000000-0010-0000-0000-00002A000000}" name="Column42" totalsRowDxfId="1"/>
    <tableColumn id="43" xr3:uid="{00000000-0010-0000-0000-00002B000000}" name="Column43" totalsRow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5830-91C8-436F-9D37-86179E878B70}">
  <dimension ref="A3:B8"/>
  <sheetViews>
    <sheetView workbookViewId="0">
      <selection activeCell="E26" sqref="E26"/>
    </sheetView>
  </sheetViews>
  <sheetFormatPr defaultRowHeight="12.5" x14ac:dyDescent="0.25"/>
  <cols>
    <col min="1" max="1" width="20.81640625" bestFit="1" customWidth="1"/>
    <col min="2" max="2" width="15.08984375" bestFit="1" customWidth="1"/>
  </cols>
  <sheetData>
    <row r="3" spans="1:2" x14ac:dyDescent="0.25">
      <c r="A3" s="5" t="s">
        <v>28</v>
      </c>
      <c r="B3" s="6" t="s">
        <v>30</v>
      </c>
    </row>
    <row r="4" spans="1:2" x14ac:dyDescent="0.25">
      <c r="A4" s="7" t="s">
        <v>8</v>
      </c>
      <c r="B4" s="12">
        <v>0.70370370370370372</v>
      </c>
    </row>
    <row r="5" spans="1:2" x14ac:dyDescent="0.25">
      <c r="A5" s="8" t="s">
        <v>3</v>
      </c>
      <c r="B5" s="13">
        <v>3.7037037037037035E-2</v>
      </c>
    </row>
    <row r="6" spans="1:2" x14ac:dyDescent="0.25">
      <c r="A6" s="8" t="s">
        <v>27</v>
      </c>
      <c r="B6" s="13">
        <v>0.22222222222222221</v>
      </c>
    </row>
    <row r="7" spans="1:2" x14ac:dyDescent="0.25">
      <c r="A7" s="8" t="s">
        <v>50</v>
      </c>
      <c r="B7" s="13">
        <v>3.7037037037037035E-2</v>
      </c>
    </row>
    <row r="8" spans="1:2" x14ac:dyDescent="0.25">
      <c r="A8" s="9" t="s">
        <v>29</v>
      </c>
      <c r="B8" s="10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59"/>
  <sheetViews>
    <sheetView tabSelected="1" zoomScale="115" zoomScaleNormal="115" workbookViewId="0">
      <selection activeCell="F6" sqref="F6"/>
    </sheetView>
  </sheetViews>
  <sheetFormatPr defaultColWidth="12.6328125" defaultRowHeight="15.75" customHeight="1" x14ac:dyDescent="0.25"/>
  <cols>
    <col min="2" max="2" width="6.90625" bestFit="1" customWidth="1"/>
    <col min="3" max="3" width="21.08984375" bestFit="1" customWidth="1"/>
    <col min="4" max="4" width="18.1796875" bestFit="1" customWidth="1"/>
    <col min="5" max="5" width="17.54296875" bestFit="1" customWidth="1"/>
    <col min="6" max="6" width="37.26953125" bestFit="1" customWidth="1"/>
    <col min="7" max="15" width="5.54296875" bestFit="1" customWidth="1"/>
    <col min="16" max="17" width="5.08984375" bestFit="1" customWidth="1"/>
    <col min="18" max="22" width="5.54296875" bestFit="1" customWidth="1"/>
    <col min="23" max="24" width="4.54296875" bestFit="1" customWidth="1"/>
    <col min="25" max="29" width="5.54296875" bestFit="1" customWidth="1"/>
    <col min="30" max="30" width="5.453125" bestFit="1" customWidth="1"/>
    <col min="31" max="32" width="4.54296875" bestFit="1" customWidth="1"/>
    <col min="33" max="37" width="5.54296875" bestFit="1" customWidth="1"/>
    <col min="38" max="42" width="18.90625" customWidth="1"/>
  </cols>
  <sheetData>
    <row r="1" spans="1:55" ht="15.75" customHeight="1" thickBot="1" x14ac:dyDescent="0.3"/>
    <row r="2" spans="1:55" ht="31.5" customHeight="1" x14ac:dyDescent="0.25">
      <c r="B2" s="96" t="s">
        <v>70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8"/>
    </row>
    <row r="3" spans="1:55" ht="18" customHeight="1" thickBot="1" x14ac:dyDescent="0.3">
      <c r="B3" s="99" t="s">
        <v>71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1"/>
    </row>
    <row r="4" spans="1:55" ht="15.75" customHeight="1" thickBot="1" x14ac:dyDescent="0.3"/>
    <row r="5" spans="1:55" ht="15.75" customHeight="1" thickBot="1" x14ac:dyDescent="0.3">
      <c r="G5" s="78" t="s">
        <v>52</v>
      </c>
      <c r="H5" s="79"/>
      <c r="I5" s="79"/>
      <c r="J5" s="79"/>
      <c r="K5" s="79"/>
      <c r="L5" s="79"/>
      <c r="M5" s="79"/>
      <c r="N5" s="80" t="s">
        <v>62</v>
      </c>
      <c r="O5" s="79"/>
      <c r="P5" s="79"/>
      <c r="Q5" s="79"/>
      <c r="R5" s="79"/>
      <c r="S5" s="79"/>
      <c r="T5" s="79"/>
      <c r="U5" s="79"/>
      <c r="V5" s="80" t="s">
        <v>25</v>
      </c>
      <c r="W5" s="79"/>
      <c r="X5" s="79"/>
      <c r="Y5" s="79"/>
      <c r="Z5" s="79"/>
      <c r="AA5" s="79"/>
      <c r="AB5" s="79"/>
      <c r="AC5" s="79"/>
      <c r="AD5" s="80" t="s">
        <v>24</v>
      </c>
      <c r="AE5" s="79"/>
      <c r="AF5" s="79"/>
      <c r="AG5" s="79"/>
      <c r="AH5" s="79"/>
      <c r="AI5" s="79"/>
      <c r="AJ5" s="79"/>
      <c r="AK5" s="81"/>
    </row>
    <row r="6" spans="1:55" s="21" customFormat="1" ht="25" x14ac:dyDescent="0.25">
      <c r="B6" s="30" t="s">
        <v>0</v>
      </c>
      <c r="C6" s="31" t="s">
        <v>1</v>
      </c>
      <c r="D6" s="32" t="s">
        <v>59</v>
      </c>
      <c r="E6" s="32" t="s">
        <v>60</v>
      </c>
      <c r="F6" s="32" t="s">
        <v>61</v>
      </c>
      <c r="G6" s="39" t="s">
        <v>31</v>
      </c>
      <c r="H6" s="39" t="s">
        <v>32</v>
      </c>
      <c r="I6" s="39" t="s">
        <v>33</v>
      </c>
      <c r="J6" s="39" t="s">
        <v>53</v>
      </c>
      <c r="K6" s="39" t="s">
        <v>54</v>
      </c>
      <c r="L6" s="39" t="s">
        <v>55</v>
      </c>
      <c r="M6" s="39" t="s">
        <v>56</v>
      </c>
      <c r="N6" s="39" t="s">
        <v>34</v>
      </c>
      <c r="O6" s="39" t="s">
        <v>35</v>
      </c>
      <c r="P6" s="39" t="s">
        <v>36</v>
      </c>
      <c r="Q6" s="39" t="s">
        <v>37</v>
      </c>
      <c r="R6" s="39" t="s">
        <v>53</v>
      </c>
      <c r="S6" s="39" t="s">
        <v>54</v>
      </c>
      <c r="T6" s="39" t="s">
        <v>55</v>
      </c>
      <c r="U6" s="39" t="s">
        <v>56</v>
      </c>
      <c r="V6" s="39" t="s">
        <v>38</v>
      </c>
      <c r="W6" s="39" t="s">
        <v>39</v>
      </c>
      <c r="X6" s="39" t="s">
        <v>40</v>
      </c>
      <c r="Y6" s="39" t="s">
        <v>41</v>
      </c>
      <c r="Z6" s="39" t="s">
        <v>53</v>
      </c>
      <c r="AA6" s="39" t="s">
        <v>54</v>
      </c>
      <c r="AB6" s="39" t="s">
        <v>55</v>
      </c>
      <c r="AC6" s="39" t="s">
        <v>56</v>
      </c>
      <c r="AD6" s="39" t="s">
        <v>42</v>
      </c>
      <c r="AE6" s="39" t="s">
        <v>43</v>
      </c>
      <c r="AF6" s="39" t="s">
        <v>44</v>
      </c>
      <c r="AG6" s="39" t="s">
        <v>45</v>
      </c>
      <c r="AH6" s="39" t="s">
        <v>53</v>
      </c>
      <c r="AI6" s="39" t="s">
        <v>54</v>
      </c>
      <c r="AJ6" s="39" t="s">
        <v>55</v>
      </c>
      <c r="AK6" s="40" t="s">
        <v>56</v>
      </c>
    </row>
    <row r="7" spans="1:55" s="26" customFormat="1" ht="12.5" x14ac:dyDescent="0.25">
      <c r="A7" s="21"/>
      <c r="B7" s="33" t="s">
        <v>7</v>
      </c>
      <c r="C7" s="22" t="s">
        <v>8</v>
      </c>
      <c r="D7" s="23">
        <v>14</v>
      </c>
      <c r="E7" s="23" t="s">
        <v>13</v>
      </c>
      <c r="F7" s="24" t="s">
        <v>17</v>
      </c>
      <c r="G7" s="25">
        <v>1</v>
      </c>
      <c r="H7" s="25">
        <v>0.6</v>
      </c>
      <c r="I7" s="25">
        <v>0.4</v>
      </c>
      <c r="J7" s="25">
        <v>0.8</v>
      </c>
      <c r="K7" s="25">
        <v>0.5</v>
      </c>
      <c r="L7" s="25">
        <v>0.9</v>
      </c>
      <c r="M7" s="25">
        <v>0.8</v>
      </c>
      <c r="N7" s="25">
        <v>1</v>
      </c>
      <c r="O7" s="25">
        <v>1</v>
      </c>
      <c r="P7" s="25">
        <v>0.5</v>
      </c>
      <c r="Q7" s="25">
        <v>0.6</v>
      </c>
      <c r="R7" s="25">
        <v>1</v>
      </c>
      <c r="S7" s="25">
        <v>1</v>
      </c>
      <c r="T7" s="25">
        <v>1</v>
      </c>
      <c r="U7" s="25">
        <v>1</v>
      </c>
      <c r="V7" s="25">
        <v>0</v>
      </c>
      <c r="W7" s="25">
        <v>0.4</v>
      </c>
      <c r="X7" s="25">
        <v>0.5</v>
      </c>
      <c r="Y7" s="25">
        <v>1</v>
      </c>
      <c r="Z7" s="25">
        <v>1</v>
      </c>
      <c r="AA7" s="25">
        <v>1</v>
      </c>
      <c r="AB7" s="25">
        <v>1</v>
      </c>
      <c r="AC7" s="25">
        <v>1</v>
      </c>
      <c r="AD7" s="25">
        <v>0</v>
      </c>
      <c r="AE7" s="25">
        <v>0.4</v>
      </c>
      <c r="AF7" s="25">
        <v>0.7</v>
      </c>
      <c r="AG7" s="25">
        <v>0.7</v>
      </c>
      <c r="AH7" s="25">
        <v>0.8</v>
      </c>
      <c r="AI7" s="25">
        <v>1</v>
      </c>
      <c r="AJ7" s="25">
        <v>1</v>
      </c>
      <c r="AK7" s="34">
        <v>1</v>
      </c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</row>
    <row r="8" spans="1:55" s="26" customFormat="1" ht="12.5" x14ac:dyDescent="0.25">
      <c r="A8" s="21"/>
      <c r="B8" s="33" t="s">
        <v>2</v>
      </c>
      <c r="C8" s="22" t="s">
        <v>8</v>
      </c>
      <c r="D8" s="23">
        <v>14</v>
      </c>
      <c r="E8" s="23" t="s">
        <v>10</v>
      </c>
      <c r="F8" s="24" t="s">
        <v>11</v>
      </c>
      <c r="G8" s="25">
        <v>1</v>
      </c>
      <c r="H8" s="25">
        <v>0.1</v>
      </c>
      <c r="I8" s="25">
        <v>0</v>
      </c>
      <c r="J8" s="25">
        <v>1</v>
      </c>
      <c r="K8" s="25">
        <v>1</v>
      </c>
      <c r="L8" s="25">
        <v>1</v>
      </c>
      <c r="M8" s="25">
        <v>1</v>
      </c>
      <c r="N8" s="25">
        <v>0.1</v>
      </c>
      <c r="O8" s="25">
        <v>0.5</v>
      </c>
      <c r="P8" s="25">
        <v>0.1</v>
      </c>
      <c r="Q8" s="25">
        <v>0.1</v>
      </c>
      <c r="R8" s="25">
        <v>1</v>
      </c>
      <c r="S8" s="25">
        <v>1</v>
      </c>
      <c r="T8" s="25">
        <v>0.6</v>
      </c>
      <c r="U8" s="25">
        <v>1</v>
      </c>
      <c r="V8" s="25">
        <v>0.1</v>
      </c>
      <c r="W8" s="25">
        <v>0.5</v>
      </c>
      <c r="X8" s="25">
        <v>0.6</v>
      </c>
      <c r="Y8" s="25">
        <v>1</v>
      </c>
      <c r="Z8" s="25">
        <v>0.6</v>
      </c>
      <c r="AA8" s="25">
        <v>1</v>
      </c>
      <c r="AB8" s="25">
        <v>1</v>
      </c>
      <c r="AC8" s="25">
        <v>0.6</v>
      </c>
      <c r="AD8" s="25">
        <v>0</v>
      </c>
      <c r="AE8" s="25">
        <v>0.5</v>
      </c>
      <c r="AF8" s="25">
        <v>0.5</v>
      </c>
      <c r="AG8" s="25">
        <v>0.5</v>
      </c>
      <c r="AH8" s="25">
        <v>1</v>
      </c>
      <c r="AI8" s="25">
        <v>0.6</v>
      </c>
      <c r="AJ8" s="25">
        <v>0.5</v>
      </c>
      <c r="AK8" s="34">
        <v>0.5</v>
      </c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</row>
    <row r="9" spans="1:55" s="26" customFormat="1" ht="12.5" x14ac:dyDescent="0.25">
      <c r="A9" s="21"/>
      <c r="B9" s="33" t="s">
        <v>7</v>
      </c>
      <c r="C9" s="22" t="s">
        <v>8</v>
      </c>
      <c r="D9" s="27" t="s">
        <v>9</v>
      </c>
      <c r="E9" s="23" t="s">
        <v>10</v>
      </c>
      <c r="F9" s="24" t="s">
        <v>11</v>
      </c>
      <c r="G9" s="25">
        <v>1</v>
      </c>
      <c r="H9" s="25">
        <v>0.9</v>
      </c>
      <c r="I9" s="25">
        <v>0.3</v>
      </c>
      <c r="J9" s="25">
        <v>1</v>
      </c>
      <c r="K9" s="25">
        <v>0.7</v>
      </c>
      <c r="L9" s="25">
        <v>1</v>
      </c>
      <c r="M9" s="25">
        <v>1</v>
      </c>
      <c r="N9" s="25">
        <v>0.6</v>
      </c>
      <c r="O9" s="25">
        <v>0.9</v>
      </c>
      <c r="P9" s="25">
        <v>0.3</v>
      </c>
      <c r="Q9" s="25">
        <v>0.3</v>
      </c>
      <c r="R9" s="25">
        <v>1</v>
      </c>
      <c r="S9" s="25">
        <v>1</v>
      </c>
      <c r="T9" s="25">
        <v>1</v>
      </c>
      <c r="U9" s="25">
        <v>1</v>
      </c>
      <c r="V9" s="25">
        <v>0</v>
      </c>
      <c r="W9" s="25">
        <v>0.1</v>
      </c>
      <c r="X9" s="25">
        <v>0.3</v>
      </c>
      <c r="Y9" s="25">
        <v>0.6</v>
      </c>
      <c r="Z9" s="25">
        <v>0.7</v>
      </c>
      <c r="AA9" s="25">
        <v>0.9</v>
      </c>
      <c r="AB9" s="25">
        <v>0.6</v>
      </c>
      <c r="AC9" s="25">
        <v>0.6</v>
      </c>
      <c r="AD9" s="25">
        <v>0</v>
      </c>
      <c r="AE9" s="25">
        <v>0.2</v>
      </c>
      <c r="AF9" s="25">
        <v>0.3</v>
      </c>
      <c r="AG9" s="25">
        <v>0.4</v>
      </c>
      <c r="AH9" s="25">
        <v>0.7</v>
      </c>
      <c r="AI9" s="25">
        <v>0.9</v>
      </c>
      <c r="AJ9" s="25">
        <v>0.6</v>
      </c>
      <c r="AK9" s="34">
        <v>0.7</v>
      </c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</row>
    <row r="10" spans="1:55" s="26" customFormat="1" ht="12.5" x14ac:dyDescent="0.25">
      <c r="A10" s="21"/>
      <c r="B10" s="33" t="s">
        <v>2</v>
      </c>
      <c r="C10" s="23" t="s">
        <v>3</v>
      </c>
      <c r="D10" s="23">
        <v>14</v>
      </c>
      <c r="E10" s="23" t="s">
        <v>13</v>
      </c>
      <c r="F10" s="24" t="s">
        <v>11</v>
      </c>
      <c r="G10" s="25">
        <v>1</v>
      </c>
      <c r="H10" s="25">
        <v>0.8</v>
      </c>
      <c r="I10" s="25">
        <v>0.7</v>
      </c>
      <c r="J10" s="25">
        <v>0.8</v>
      </c>
      <c r="K10" s="25">
        <v>0.7</v>
      </c>
      <c r="L10" s="25">
        <v>0.9</v>
      </c>
      <c r="M10" s="25">
        <v>1</v>
      </c>
      <c r="N10" s="25">
        <v>0.7</v>
      </c>
      <c r="O10" s="25">
        <v>1</v>
      </c>
      <c r="P10" s="25">
        <v>0.6</v>
      </c>
      <c r="Q10" s="25">
        <v>0.9</v>
      </c>
      <c r="R10" s="25">
        <v>0.8</v>
      </c>
      <c r="S10" s="25">
        <v>0.7</v>
      </c>
      <c r="T10" s="25">
        <v>1</v>
      </c>
      <c r="U10" s="25">
        <v>1</v>
      </c>
      <c r="V10" s="25">
        <v>0</v>
      </c>
      <c r="W10" s="25">
        <v>0.2</v>
      </c>
      <c r="X10" s="25">
        <v>0.3</v>
      </c>
      <c r="Y10" s="25">
        <v>0.9</v>
      </c>
      <c r="Z10" s="25">
        <v>0.7</v>
      </c>
      <c r="AA10" s="25">
        <v>0.5</v>
      </c>
      <c r="AB10" s="25">
        <v>0.2</v>
      </c>
      <c r="AC10" s="25">
        <v>0.1</v>
      </c>
      <c r="AD10" s="25">
        <v>0.1</v>
      </c>
      <c r="AE10" s="25">
        <v>0.4</v>
      </c>
      <c r="AF10" s="25">
        <v>0.9</v>
      </c>
      <c r="AG10" s="25">
        <v>1</v>
      </c>
      <c r="AH10" s="25">
        <v>0.7</v>
      </c>
      <c r="AI10" s="25">
        <v>0.9</v>
      </c>
      <c r="AJ10" s="25">
        <v>0.6</v>
      </c>
      <c r="AK10" s="34">
        <v>0.2</v>
      </c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</row>
    <row r="11" spans="1:55" s="21" customFormat="1" ht="12.5" x14ac:dyDescent="0.25">
      <c r="B11" s="33" t="s">
        <v>7</v>
      </c>
      <c r="C11" s="22" t="s">
        <v>8</v>
      </c>
      <c r="D11" s="27" t="s">
        <v>9</v>
      </c>
      <c r="E11" s="23" t="s">
        <v>13</v>
      </c>
      <c r="F11" s="24" t="s">
        <v>11</v>
      </c>
      <c r="G11" s="25">
        <v>1</v>
      </c>
      <c r="H11" s="25">
        <v>0.9</v>
      </c>
      <c r="I11" s="25">
        <v>0.8</v>
      </c>
      <c r="J11" s="25">
        <v>0.9</v>
      </c>
      <c r="K11" s="25">
        <v>0.7</v>
      </c>
      <c r="L11" s="25">
        <v>0.9</v>
      </c>
      <c r="M11" s="25">
        <v>1</v>
      </c>
      <c r="N11" s="25">
        <v>0.4</v>
      </c>
      <c r="O11" s="25">
        <v>0.6</v>
      </c>
      <c r="P11" s="25">
        <v>0.6</v>
      </c>
      <c r="Q11" s="25">
        <v>0.7</v>
      </c>
      <c r="R11" s="25">
        <v>1</v>
      </c>
      <c r="S11" s="25">
        <v>0.6</v>
      </c>
      <c r="T11" s="25">
        <v>1</v>
      </c>
      <c r="U11" s="25">
        <v>1</v>
      </c>
      <c r="V11" s="25">
        <v>0.2</v>
      </c>
      <c r="W11" s="25">
        <v>0.4</v>
      </c>
      <c r="X11" s="25">
        <v>0.9</v>
      </c>
      <c r="Y11" s="25">
        <v>1</v>
      </c>
      <c r="Z11" s="25">
        <v>0.4</v>
      </c>
      <c r="AA11" s="25">
        <v>1</v>
      </c>
      <c r="AB11" s="25">
        <v>0.8</v>
      </c>
      <c r="AC11" s="25">
        <v>0.6</v>
      </c>
      <c r="AD11" s="25">
        <v>0.1</v>
      </c>
      <c r="AE11" s="25">
        <v>0.6</v>
      </c>
      <c r="AF11" s="25">
        <v>0.8</v>
      </c>
      <c r="AG11" s="25">
        <v>0.9</v>
      </c>
      <c r="AH11" s="25">
        <v>0.3</v>
      </c>
      <c r="AI11" s="25">
        <v>1</v>
      </c>
      <c r="AJ11" s="25">
        <v>0.8</v>
      </c>
      <c r="AK11" s="34">
        <v>0.6</v>
      </c>
    </row>
    <row r="12" spans="1:55" s="21" customFormat="1" ht="12.5" x14ac:dyDescent="0.25">
      <c r="B12" s="33" t="s">
        <v>7</v>
      </c>
      <c r="C12" s="22" t="s">
        <v>8</v>
      </c>
      <c r="D12" s="27" t="s">
        <v>9</v>
      </c>
      <c r="E12" s="23" t="s">
        <v>13</v>
      </c>
      <c r="F12" s="24" t="s">
        <v>11</v>
      </c>
      <c r="G12" s="25">
        <v>1</v>
      </c>
      <c r="H12" s="25">
        <v>0.8</v>
      </c>
      <c r="I12" s="25">
        <v>0.2</v>
      </c>
      <c r="J12" s="25">
        <v>0.9</v>
      </c>
      <c r="K12" s="25">
        <v>0.8</v>
      </c>
      <c r="L12" s="25">
        <v>0.9</v>
      </c>
      <c r="M12" s="25">
        <v>1</v>
      </c>
      <c r="N12" s="25">
        <v>0</v>
      </c>
      <c r="O12" s="25">
        <v>1</v>
      </c>
      <c r="P12" s="25">
        <v>0.2</v>
      </c>
      <c r="Q12" s="25">
        <v>0.8</v>
      </c>
      <c r="R12" s="25">
        <v>0.9</v>
      </c>
      <c r="S12" s="25">
        <v>1</v>
      </c>
      <c r="T12" s="25">
        <v>1</v>
      </c>
      <c r="U12" s="25">
        <v>1</v>
      </c>
      <c r="V12" s="25">
        <v>0</v>
      </c>
      <c r="W12" s="25">
        <v>0.1</v>
      </c>
      <c r="X12" s="25">
        <v>0.5</v>
      </c>
      <c r="Y12" s="25">
        <v>0.6</v>
      </c>
      <c r="Z12" s="25">
        <v>0.7</v>
      </c>
      <c r="AA12" s="25">
        <v>1</v>
      </c>
      <c r="AB12" s="25">
        <v>0.6</v>
      </c>
      <c r="AC12" s="25">
        <v>0.5</v>
      </c>
      <c r="AD12" s="25">
        <v>0</v>
      </c>
      <c r="AE12" s="25">
        <v>0.2</v>
      </c>
      <c r="AF12" s="25">
        <v>0.3</v>
      </c>
      <c r="AG12" s="25">
        <v>0.5</v>
      </c>
      <c r="AH12" s="25">
        <v>0.6</v>
      </c>
      <c r="AI12" s="25">
        <v>1</v>
      </c>
      <c r="AJ12" s="25">
        <v>0.5</v>
      </c>
      <c r="AK12" s="34">
        <v>0.5</v>
      </c>
    </row>
    <row r="13" spans="1:55" s="21" customFormat="1" ht="12.5" x14ac:dyDescent="0.25">
      <c r="B13" s="33" t="s">
        <v>7</v>
      </c>
      <c r="C13" s="22" t="s">
        <v>8</v>
      </c>
      <c r="D13" s="27" t="s">
        <v>4</v>
      </c>
      <c r="E13" s="23" t="s">
        <v>16</v>
      </c>
      <c r="F13" s="24" t="s">
        <v>11</v>
      </c>
      <c r="G13" s="25">
        <v>0.7</v>
      </c>
      <c r="H13" s="25">
        <v>0.7</v>
      </c>
      <c r="I13" s="25">
        <v>0.4</v>
      </c>
      <c r="J13" s="25">
        <v>0.7</v>
      </c>
      <c r="K13" s="25">
        <v>0.9</v>
      </c>
      <c r="L13" s="25">
        <v>0.4</v>
      </c>
      <c r="M13" s="25">
        <v>0.4</v>
      </c>
      <c r="N13" s="25">
        <v>0.5</v>
      </c>
      <c r="O13" s="25">
        <v>0.6</v>
      </c>
      <c r="P13" s="25">
        <v>0.2</v>
      </c>
      <c r="Q13" s="25">
        <v>0.4</v>
      </c>
      <c r="R13" s="25">
        <v>0.7</v>
      </c>
      <c r="S13" s="25">
        <v>0.8</v>
      </c>
      <c r="T13" s="25">
        <v>0.3</v>
      </c>
      <c r="U13" s="25">
        <v>0.3</v>
      </c>
      <c r="V13" s="41"/>
      <c r="W13" s="25">
        <v>0.6</v>
      </c>
      <c r="X13" s="25">
        <v>0.7</v>
      </c>
      <c r="Y13" s="25">
        <v>0.9</v>
      </c>
      <c r="Z13" s="25">
        <v>0.8</v>
      </c>
      <c r="AA13" s="25">
        <v>1</v>
      </c>
      <c r="AB13" s="25">
        <v>0.6</v>
      </c>
      <c r="AC13" s="25">
        <v>0.4</v>
      </c>
      <c r="AD13" s="25">
        <v>0.3</v>
      </c>
      <c r="AE13" s="25">
        <v>0.5</v>
      </c>
      <c r="AF13" s="25">
        <v>0.8</v>
      </c>
      <c r="AG13" s="25">
        <v>0.6</v>
      </c>
      <c r="AH13" s="25">
        <v>0.9</v>
      </c>
      <c r="AI13" s="25">
        <v>0.7</v>
      </c>
      <c r="AJ13" s="25">
        <v>0.3</v>
      </c>
      <c r="AK13" s="34">
        <v>0.3</v>
      </c>
    </row>
    <row r="14" spans="1:55" s="21" customFormat="1" ht="12.5" x14ac:dyDescent="0.25">
      <c r="B14" s="33" t="s">
        <v>2</v>
      </c>
      <c r="C14" s="22" t="s">
        <v>27</v>
      </c>
      <c r="D14" s="27" t="s">
        <v>9</v>
      </c>
      <c r="E14" s="22" t="s">
        <v>10</v>
      </c>
      <c r="F14" s="22" t="s">
        <v>14</v>
      </c>
      <c r="G14" s="28">
        <v>1</v>
      </c>
      <c r="H14" s="28">
        <v>0.9</v>
      </c>
      <c r="I14" s="28">
        <v>0.5</v>
      </c>
      <c r="J14" s="28">
        <v>1</v>
      </c>
      <c r="K14" s="28">
        <v>0.9</v>
      </c>
      <c r="L14" s="28">
        <v>1</v>
      </c>
      <c r="M14" s="28">
        <v>1</v>
      </c>
      <c r="N14" s="28">
        <v>0.4</v>
      </c>
      <c r="O14" s="28">
        <v>0.8</v>
      </c>
      <c r="P14" s="28">
        <v>0.6</v>
      </c>
      <c r="Q14" s="28">
        <v>0.7</v>
      </c>
      <c r="R14" s="28">
        <v>0.9</v>
      </c>
      <c r="S14" s="28">
        <v>1</v>
      </c>
      <c r="T14" s="28">
        <v>0.8</v>
      </c>
      <c r="U14" s="28">
        <v>0.8</v>
      </c>
      <c r="V14" s="29">
        <v>0.1</v>
      </c>
      <c r="W14" s="29">
        <v>0.3</v>
      </c>
      <c r="X14" s="29">
        <v>0.7</v>
      </c>
      <c r="Y14" s="29">
        <v>0.9</v>
      </c>
      <c r="Z14" s="29">
        <v>0.9</v>
      </c>
      <c r="AA14" s="29">
        <v>1</v>
      </c>
      <c r="AB14" s="29">
        <v>0.6</v>
      </c>
      <c r="AC14" s="29">
        <v>0.7</v>
      </c>
      <c r="AD14" s="29">
        <v>0.2</v>
      </c>
      <c r="AE14" s="29">
        <v>0.6</v>
      </c>
      <c r="AF14" s="29">
        <v>0.8</v>
      </c>
      <c r="AG14" s="29">
        <v>1</v>
      </c>
      <c r="AH14" s="29">
        <v>0.8</v>
      </c>
      <c r="AI14" s="29">
        <v>1</v>
      </c>
      <c r="AJ14" s="29">
        <v>0.6</v>
      </c>
      <c r="AK14" s="35">
        <v>0.6</v>
      </c>
    </row>
    <row r="15" spans="1:55" s="21" customFormat="1" ht="12.5" x14ac:dyDescent="0.25">
      <c r="B15" s="33" t="s">
        <v>7</v>
      </c>
      <c r="C15" s="22" t="s">
        <v>8</v>
      </c>
      <c r="D15" s="27" t="s">
        <v>4</v>
      </c>
      <c r="E15" s="22" t="s">
        <v>10</v>
      </c>
      <c r="F15" s="22" t="s">
        <v>11</v>
      </c>
      <c r="G15" s="28">
        <v>1</v>
      </c>
      <c r="H15" s="28">
        <v>0.8</v>
      </c>
      <c r="I15" s="28">
        <v>0</v>
      </c>
      <c r="J15" s="28">
        <v>1</v>
      </c>
      <c r="K15" s="28">
        <v>1</v>
      </c>
      <c r="L15" s="28">
        <v>1</v>
      </c>
      <c r="M15" s="28">
        <v>1</v>
      </c>
      <c r="N15" s="28">
        <v>0.5</v>
      </c>
      <c r="O15" s="28">
        <v>0.9</v>
      </c>
      <c r="P15" s="28">
        <v>0.4</v>
      </c>
      <c r="Q15" s="28">
        <v>0.4</v>
      </c>
      <c r="R15" s="28">
        <v>1</v>
      </c>
      <c r="S15" s="28">
        <v>1</v>
      </c>
      <c r="T15" s="28">
        <v>0.8</v>
      </c>
      <c r="U15" s="28">
        <v>0.8</v>
      </c>
      <c r="V15" s="29">
        <v>1</v>
      </c>
      <c r="W15" s="29">
        <v>0.5</v>
      </c>
      <c r="X15" s="29">
        <v>0.8</v>
      </c>
      <c r="Y15" s="29">
        <v>0.9</v>
      </c>
      <c r="Z15" s="29">
        <v>0.9</v>
      </c>
      <c r="AA15" s="29">
        <v>1</v>
      </c>
      <c r="AB15" s="29">
        <v>0.7</v>
      </c>
      <c r="AC15" s="29">
        <v>0.5</v>
      </c>
      <c r="AD15" s="29">
        <v>0.1</v>
      </c>
      <c r="AE15" s="29">
        <v>0.3</v>
      </c>
      <c r="AF15" s="29">
        <v>0.5</v>
      </c>
      <c r="AG15" s="29">
        <v>0.7</v>
      </c>
      <c r="AH15" s="29">
        <v>0.8</v>
      </c>
      <c r="AI15" s="29">
        <v>1</v>
      </c>
      <c r="AJ15" s="29">
        <v>0.5</v>
      </c>
      <c r="AK15" s="35">
        <v>0.3</v>
      </c>
    </row>
    <row r="16" spans="1:55" s="21" customFormat="1" ht="12.5" x14ac:dyDescent="0.25">
      <c r="B16" s="33" t="s">
        <v>7</v>
      </c>
      <c r="C16" s="22" t="s">
        <v>27</v>
      </c>
      <c r="D16" s="27" t="s">
        <v>4</v>
      </c>
      <c r="E16" s="22" t="s">
        <v>16</v>
      </c>
      <c r="F16" s="22" t="s">
        <v>17</v>
      </c>
      <c r="G16" s="28">
        <v>0.4</v>
      </c>
      <c r="H16" s="28">
        <v>0.2</v>
      </c>
      <c r="I16" s="28">
        <v>0.1</v>
      </c>
      <c r="J16" s="28">
        <v>0.4</v>
      </c>
      <c r="K16" s="28">
        <v>0.3</v>
      </c>
      <c r="L16" s="28">
        <v>0.4</v>
      </c>
      <c r="M16" s="28">
        <v>0.4</v>
      </c>
      <c r="N16" s="28">
        <v>0</v>
      </c>
      <c r="O16" s="28">
        <v>0.4</v>
      </c>
      <c r="P16" s="28">
        <v>0</v>
      </c>
      <c r="Q16" s="28">
        <v>0</v>
      </c>
      <c r="R16" s="28">
        <v>0.4</v>
      </c>
      <c r="S16" s="28">
        <v>0.4</v>
      </c>
      <c r="T16" s="28">
        <v>0.3</v>
      </c>
      <c r="U16" s="28">
        <v>0.2</v>
      </c>
      <c r="V16" s="29">
        <v>0</v>
      </c>
      <c r="W16" s="29">
        <v>0.1</v>
      </c>
      <c r="X16" s="29">
        <v>0.1</v>
      </c>
      <c r="Y16" s="29">
        <v>0.4</v>
      </c>
      <c r="Z16" s="29">
        <v>0.4</v>
      </c>
      <c r="AA16" s="29">
        <v>0.4</v>
      </c>
      <c r="AB16" s="29">
        <v>0.2</v>
      </c>
      <c r="AC16" s="29">
        <v>0.2</v>
      </c>
      <c r="AD16" s="29">
        <v>0</v>
      </c>
      <c r="AE16" s="29">
        <v>0.1</v>
      </c>
      <c r="AF16" s="29">
        <v>0.1</v>
      </c>
      <c r="AG16" s="29">
        <v>0.2</v>
      </c>
      <c r="AH16" s="29">
        <v>0.1</v>
      </c>
      <c r="AI16" s="29">
        <v>0.2</v>
      </c>
      <c r="AJ16" s="29">
        <v>0.1</v>
      </c>
      <c r="AK16" s="35">
        <v>0.1</v>
      </c>
    </row>
    <row r="17" spans="2:37" s="21" customFormat="1" ht="12.5" x14ac:dyDescent="0.25">
      <c r="B17" s="33" t="s">
        <v>7</v>
      </c>
      <c r="C17" s="22" t="s">
        <v>8</v>
      </c>
      <c r="D17" s="27" t="s">
        <v>9</v>
      </c>
      <c r="E17" s="22" t="s">
        <v>10</v>
      </c>
      <c r="F17" s="22" t="s">
        <v>14</v>
      </c>
      <c r="G17" s="28">
        <v>1</v>
      </c>
      <c r="H17" s="28">
        <v>0.8</v>
      </c>
      <c r="I17" s="28">
        <v>0.4</v>
      </c>
      <c r="J17" s="28">
        <v>1</v>
      </c>
      <c r="K17" s="28">
        <v>0.7</v>
      </c>
      <c r="L17" s="28">
        <v>1</v>
      </c>
      <c r="M17" s="28">
        <v>1</v>
      </c>
      <c r="N17" s="28">
        <v>0.4</v>
      </c>
      <c r="O17" s="28">
        <v>1</v>
      </c>
      <c r="P17" s="28">
        <v>0.7</v>
      </c>
      <c r="Q17" s="28">
        <v>0.9</v>
      </c>
      <c r="R17" s="28">
        <v>0.8</v>
      </c>
      <c r="S17" s="28">
        <v>1</v>
      </c>
      <c r="T17" s="28">
        <v>1</v>
      </c>
      <c r="U17" s="28">
        <v>1</v>
      </c>
      <c r="V17" s="29">
        <v>0</v>
      </c>
      <c r="W17" s="29">
        <v>0.2</v>
      </c>
      <c r="X17" s="29">
        <v>0.4</v>
      </c>
      <c r="Y17" s="29">
        <v>0.8</v>
      </c>
      <c r="Z17" s="29">
        <v>0.7</v>
      </c>
      <c r="AA17" s="29">
        <v>1</v>
      </c>
      <c r="AB17" s="29">
        <v>0.6</v>
      </c>
      <c r="AC17" s="29">
        <v>0.5</v>
      </c>
      <c r="AD17" s="29">
        <v>0</v>
      </c>
      <c r="AE17" s="29">
        <v>0.3</v>
      </c>
      <c r="AF17" s="29">
        <v>0.5</v>
      </c>
      <c r="AG17" s="29">
        <v>0.8</v>
      </c>
      <c r="AH17" s="29">
        <v>0.7</v>
      </c>
      <c r="AI17" s="29">
        <v>1</v>
      </c>
      <c r="AJ17" s="29">
        <v>0.6</v>
      </c>
      <c r="AK17" s="35">
        <v>0.6</v>
      </c>
    </row>
    <row r="18" spans="2:37" s="21" customFormat="1" ht="12.5" x14ac:dyDescent="0.25">
      <c r="B18" s="33" t="s">
        <v>2</v>
      </c>
      <c r="C18" s="22" t="s">
        <v>8</v>
      </c>
      <c r="D18" s="27" t="s">
        <v>9</v>
      </c>
      <c r="E18" s="22" t="s">
        <v>10</v>
      </c>
      <c r="F18" s="22" t="s">
        <v>6</v>
      </c>
      <c r="G18" s="28">
        <v>1</v>
      </c>
      <c r="H18" s="28">
        <v>1</v>
      </c>
      <c r="I18" s="28">
        <v>0</v>
      </c>
      <c r="J18" s="28">
        <v>1</v>
      </c>
      <c r="K18" s="28">
        <v>0.9</v>
      </c>
      <c r="L18" s="28">
        <v>1</v>
      </c>
      <c r="M18" s="28">
        <v>1</v>
      </c>
      <c r="N18" s="28">
        <v>0</v>
      </c>
      <c r="O18" s="28">
        <v>1</v>
      </c>
      <c r="P18" s="28">
        <v>0.4</v>
      </c>
      <c r="Q18" s="28">
        <v>0.1</v>
      </c>
      <c r="R18" s="28">
        <v>0.8</v>
      </c>
      <c r="S18" s="28">
        <v>0.9</v>
      </c>
      <c r="T18" s="28">
        <v>1</v>
      </c>
      <c r="U18" s="28">
        <v>1</v>
      </c>
      <c r="V18" s="29">
        <v>0</v>
      </c>
      <c r="W18" s="29">
        <v>0.2</v>
      </c>
      <c r="X18" s="29">
        <v>0.4</v>
      </c>
      <c r="Y18" s="29">
        <v>0.6</v>
      </c>
      <c r="Z18" s="29">
        <v>0.3</v>
      </c>
      <c r="AA18" s="29">
        <v>0.4</v>
      </c>
      <c r="AB18" s="29">
        <v>0.4</v>
      </c>
      <c r="AC18" s="29">
        <v>0.4</v>
      </c>
      <c r="AD18" s="29">
        <v>0</v>
      </c>
      <c r="AE18" s="29">
        <v>0.1</v>
      </c>
      <c r="AF18" s="29">
        <v>0.2</v>
      </c>
      <c r="AG18" s="29">
        <v>0.5</v>
      </c>
      <c r="AH18" s="29">
        <v>0.2</v>
      </c>
      <c r="AI18" s="29">
        <v>0.6</v>
      </c>
      <c r="AJ18" s="29">
        <v>0.4</v>
      </c>
      <c r="AK18" s="35">
        <v>0.5</v>
      </c>
    </row>
    <row r="19" spans="2:37" s="21" customFormat="1" ht="12.5" x14ac:dyDescent="0.25">
      <c r="B19" s="33" t="s">
        <v>2</v>
      </c>
      <c r="C19" s="22" t="s">
        <v>27</v>
      </c>
      <c r="D19" s="27" t="s">
        <v>4</v>
      </c>
      <c r="E19" s="22" t="s">
        <v>13</v>
      </c>
      <c r="F19" s="22" t="s">
        <v>11</v>
      </c>
      <c r="G19" s="28">
        <v>0.3</v>
      </c>
      <c r="H19" s="28">
        <v>0.5</v>
      </c>
      <c r="I19" s="28">
        <v>0.7</v>
      </c>
      <c r="J19" s="28">
        <v>1</v>
      </c>
      <c r="K19" s="28">
        <v>1</v>
      </c>
      <c r="L19" s="28">
        <v>1</v>
      </c>
      <c r="M19" s="28">
        <v>1</v>
      </c>
      <c r="N19" s="28">
        <v>0</v>
      </c>
      <c r="O19" s="28">
        <v>0.8</v>
      </c>
      <c r="P19" s="28">
        <v>0.5</v>
      </c>
      <c r="Q19" s="28">
        <v>0.7</v>
      </c>
      <c r="R19" s="28">
        <v>0.7</v>
      </c>
      <c r="S19" s="28">
        <v>0.8</v>
      </c>
      <c r="T19" s="28">
        <v>0.9</v>
      </c>
      <c r="U19" s="28">
        <v>0.9</v>
      </c>
      <c r="V19" s="29">
        <v>0</v>
      </c>
      <c r="W19" s="29">
        <v>0.2</v>
      </c>
      <c r="X19" s="29">
        <v>0.3</v>
      </c>
      <c r="Y19" s="29">
        <v>0.5</v>
      </c>
      <c r="Z19" s="29">
        <v>0.2</v>
      </c>
      <c r="AA19" s="29">
        <v>0.6</v>
      </c>
      <c r="AB19" s="29">
        <v>0.5</v>
      </c>
      <c r="AC19" s="29">
        <v>0.5</v>
      </c>
      <c r="AD19" s="29">
        <v>0.1</v>
      </c>
      <c r="AE19" s="29">
        <v>0.2</v>
      </c>
      <c r="AF19" s="29">
        <v>0.4</v>
      </c>
      <c r="AG19" s="29">
        <v>0.5</v>
      </c>
      <c r="AH19" s="29">
        <v>0.4</v>
      </c>
      <c r="AI19" s="29">
        <v>0.7</v>
      </c>
      <c r="AJ19" s="29">
        <v>0.4</v>
      </c>
      <c r="AK19" s="35">
        <v>0.2</v>
      </c>
    </row>
    <row r="20" spans="2:37" s="21" customFormat="1" ht="12.5" x14ac:dyDescent="0.25">
      <c r="B20" s="33" t="s">
        <v>7</v>
      </c>
      <c r="C20" s="22" t="s">
        <v>8</v>
      </c>
      <c r="D20" s="27" t="s">
        <v>4</v>
      </c>
      <c r="E20" s="22" t="s">
        <v>10</v>
      </c>
      <c r="F20" s="22" t="s">
        <v>14</v>
      </c>
      <c r="G20" s="28">
        <v>1</v>
      </c>
      <c r="H20" s="28">
        <v>0.8</v>
      </c>
      <c r="I20" s="28">
        <v>0.3</v>
      </c>
      <c r="J20" s="28">
        <v>1</v>
      </c>
      <c r="K20" s="28">
        <v>1</v>
      </c>
      <c r="L20" s="28">
        <v>1</v>
      </c>
      <c r="M20" s="28">
        <v>1</v>
      </c>
      <c r="N20" s="28">
        <v>0.4</v>
      </c>
      <c r="O20" s="28">
        <v>0.8</v>
      </c>
      <c r="P20" s="28">
        <v>0.6</v>
      </c>
      <c r="Q20" s="28">
        <v>0.7</v>
      </c>
      <c r="R20" s="28">
        <v>1</v>
      </c>
      <c r="S20" s="28">
        <v>1</v>
      </c>
      <c r="T20" s="28">
        <v>1</v>
      </c>
      <c r="U20" s="28">
        <v>1</v>
      </c>
      <c r="V20" s="29">
        <v>0.1</v>
      </c>
      <c r="W20" s="29">
        <v>0.3</v>
      </c>
      <c r="X20" s="29">
        <v>0.6</v>
      </c>
      <c r="Y20" s="29">
        <v>0.9</v>
      </c>
      <c r="Z20" s="29">
        <v>0.5</v>
      </c>
      <c r="AA20" s="29">
        <v>0.8</v>
      </c>
      <c r="AB20" s="29">
        <v>0.6</v>
      </c>
      <c r="AC20" s="29">
        <v>0.5</v>
      </c>
      <c r="AD20" s="29">
        <v>0</v>
      </c>
      <c r="AE20" s="29">
        <v>0.2</v>
      </c>
      <c r="AF20" s="29">
        <v>0.4</v>
      </c>
      <c r="AG20" s="29">
        <v>0.6</v>
      </c>
      <c r="AH20" s="29">
        <v>0.7</v>
      </c>
      <c r="AI20" s="29">
        <v>0.9</v>
      </c>
      <c r="AJ20" s="29">
        <v>0.6</v>
      </c>
      <c r="AK20" s="35">
        <v>0.5</v>
      </c>
    </row>
    <row r="21" spans="2:37" s="21" customFormat="1" ht="12.5" x14ac:dyDescent="0.25">
      <c r="B21" s="33" t="s">
        <v>7</v>
      </c>
      <c r="C21" s="22" t="s">
        <v>8</v>
      </c>
      <c r="D21" s="27" t="s">
        <v>4</v>
      </c>
      <c r="E21" s="22" t="s">
        <v>10</v>
      </c>
      <c r="F21" s="22" t="s">
        <v>11</v>
      </c>
      <c r="G21" s="28">
        <v>1</v>
      </c>
      <c r="H21" s="28">
        <v>1</v>
      </c>
      <c r="I21" s="28">
        <v>0</v>
      </c>
      <c r="J21" s="28">
        <v>1</v>
      </c>
      <c r="K21" s="28">
        <v>0.9</v>
      </c>
      <c r="L21" s="28">
        <v>0.9</v>
      </c>
      <c r="M21" s="28">
        <v>1</v>
      </c>
      <c r="N21" s="28">
        <v>0.3</v>
      </c>
      <c r="O21" s="28">
        <v>1</v>
      </c>
      <c r="P21" s="28">
        <v>0.3</v>
      </c>
      <c r="Q21" s="28">
        <v>0.7</v>
      </c>
      <c r="R21" s="28">
        <v>1</v>
      </c>
      <c r="S21" s="28">
        <v>0.7</v>
      </c>
      <c r="T21" s="28">
        <v>1</v>
      </c>
      <c r="U21" s="28">
        <v>1</v>
      </c>
      <c r="V21" s="29">
        <v>0.2</v>
      </c>
      <c r="W21" s="29">
        <v>0.4</v>
      </c>
      <c r="X21" s="29">
        <v>0.5</v>
      </c>
      <c r="Y21" s="29">
        <v>0.9</v>
      </c>
      <c r="Z21" s="29">
        <v>0.3</v>
      </c>
      <c r="AA21" s="29">
        <v>0.8</v>
      </c>
      <c r="AB21" s="29">
        <v>0.6</v>
      </c>
      <c r="AC21" s="29">
        <v>0.3</v>
      </c>
      <c r="AD21" s="29">
        <v>0</v>
      </c>
      <c r="AE21" s="29">
        <v>0.1</v>
      </c>
      <c r="AF21" s="29">
        <v>0.3</v>
      </c>
      <c r="AG21" s="29">
        <v>0.5</v>
      </c>
      <c r="AH21" s="29">
        <v>0.3</v>
      </c>
      <c r="AI21" s="29">
        <v>0.9</v>
      </c>
      <c r="AJ21" s="29">
        <v>0.2</v>
      </c>
      <c r="AK21" s="35">
        <v>0</v>
      </c>
    </row>
    <row r="22" spans="2:37" s="21" customFormat="1" ht="12.5" x14ac:dyDescent="0.25">
      <c r="B22" s="33" t="s">
        <v>7</v>
      </c>
      <c r="C22" s="22" t="s">
        <v>8</v>
      </c>
      <c r="D22" s="27" t="s">
        <v>4</v>
      </c>
      <c r="E22" s="22" t="s">
        <v>13</v>
      </c>
      <c r="F22" s="22" t="s">
        <v>11</v>
      </c>
      <c r="G22" s="28">
        <v>1</v>
      </c>
      <c r="H22" s="28">
        <v>0.9</v>
      </c>
      <c r="I22" s="28">
        <v>0.5</v>
      </c>
      <c r="J22" s="28">
        <v>0.9</v>
      </c>
      <c r="K22" s="28">
        <v>0.9</v>
      </c>
      <c r="L22" s="28">
        <v>1</v>
      </c>
      <c r="M22" s="28">
        <v>1</v>
      </c>
      <c r="N22" s="28">
        <v>0.6</v>
      </c>
      <c r="O22" s="28">
        <v>0.8</v>
      </c>
      <c r="P22" s="28">
        <v>0.7</v>
      </c>
      <c r="Q22" s="28">
        <v>0.8</v>
      </c>
      <c r="R22" s="28">
        <v>0.6</v>
      </c>
      <c r="S22" s="28">
        <v>0.9</v>
      </c>
      <c r="T22" s="28">
        <v>0.7</v>
      </c>
      <c r="U22" s="28">
        <v>0.8</v>
      </c>
      <c r="V22" s="29">
        <v>0</v>
      </c>
      <c r="W22" s="29">
        <v>0.2</v>
      </c>
      <c r="X22" s="29">
        <v>0.5</v>
      </c>
      <c r="Y22" s="29">
        <v>0.8</v>
      </c>
      <c r="Z22" s="29">
        <v>0.2</v>
      </c>
      <c r="AA22" s="29">
        <v>0.9</v>
      </c>
      <c r="AB22" s="29">
        <v>0.1</v>
      </c>
      <c r="AC22" s="29">
        <v>0.1</v>
      </c>
      <c r="AD22" s="29">
        <v>0</v>
      </c>
      <c r="AE22" s="29">
        <v>0.1</v>
      </c>
      <c r="AF22" s="29">
        <v>0.3</v>
      </c>
      <c r="AG22" s="29">
        <v>0.5</v>
      </c>
      <c r="AH22" s="29">
        <v>0.1</v>
      </c>
      <c r="AI22" s="29">
        <v>0.9</v>
      </c>
      <c r="AJ22" s="29">
        <v>0.3</v>
      </c>
      <c r="AK22" s="35">
        <v>0.5</v>
      </c>
    </row>
    <row r="23" spans="2:37" s="21" customFormat="1" ht="12.5" x14ac:dyDescent="0.25">
      <c r="B23" s="33" t="s">
        <v>7</v>
      </c>
      <c r="C23" s="22" t="s">
        <v>8</v>
      </c>
      <c r="D23" s="27" t="s">
        <v>9</v>
      </c>
      <c r="E23" s="22" t="s">
        <v>16</v>
      </c>
      <c r="F23" s="22" t="s">
        <v>14</v>
      </c>
      <c r="G23" s="28">
        <v>1</v>
      </c>
      <c r="H23" s="28">
        <v>1</v>
      </c>
      <c r="I23" s="28">
        <v>0</v>
      </c>
      <c r="J23" s="28">
        <v>0.9</v>
      </c>
      <c r="K23" s="28">
        <v>0.8</v>
      </c>
      <c r="L23" s="28">
        <v>1</v>
      </c>
      <c r="M23" s="28">
        <v>1</v>
      </c>
      <c r="N23" s="28">
        <v>0</v>
      </c>
      <c r="O23" s="28">
        <v>1</v>
      </c>
      <c r="P23" s="28">
        <v>0</v>
      </c>
      <c r="Q23" s="28">
        <v>0.6</v>
      </c>
      <c r="R23" s="28">
        <v>1</v>
      </c>
      <c r="S23" s="28">
        <v>1</v>
      </c>
      <c r="T23" s="28">
        <v>1</v>
      </c>
      <c r="U23" s="28">
        <v>1</v>
      </c>
      <c r="V23" s="29">
        <v>0</v>
      </c>
      <c r="W23" s="29">
        <v>0.1</v>
      </c>
      <c r="X23" s="29">
        <v>0.3</v>
      </c>
      <c r="Y23" s="29">
        <v>0.6</v>
      </c>
      <c r="Z23" s="29">
        <v>0.3</v>
      </c>
      <c r="AA23" s="29">
        <v>0.7</v>
      </c>
      <c r="AB23" s="29">
        <v>0.1</v>
      </c>
      <c r="AC23" s="29">
        <v>0</v>
      </c>
      <c r="AD23" s="29">
        <v>0</v>
      </c>
      <c r="AE23" s="29">
        <v>0.1</v>
      </c>
      <c r="AF23" s="29">
        <v>0.1</v>
      </c>
      <c r="AG23" s="29">
        <v>0.2</v>
      </c>
      <c r="AH23" s="29">
        <v>0.1</v>
      </c>
      <c r="AI23" s="29">
        <v>0.5</v>
      </c>
      <c r="AJ23" s="29">
        <v>0.1</v>
      </c>
      <c r="AK23" s="35">
        <v>0.1</v>
      </c>
    </row>
    <row r="24" spans="2:37" s="21" customFormat="1" ht="12.5" x14ac:dyDescent="0.25">
      <c r="B24" s="33" t="s">
        <v>7</v>
      </c>
      <c r="C24" s="22" t="s">
        <v>8</v>
      </c>
      <c r="D24" s="27" t="s">
        <v>9</v>
      </c>
      <c r="E24" s="22" t="s">
        <v>10</v>
      </c>
      <c r="F24" s="22" t="s">
        <v>17</v>
      </c>
      <c r="G24" s="28">
        <v>1</v>
      </c>
      <c r="H24" s="28">
        <v>0.9</v>
      </c>
      <c r="I24" s="28">
        <v>0.1</v>
      </c>
      <c r="J24" s="28">
        <v>1</v>
      </c>
      <c r="K24" s="28">
        <v>0.9</v>
      </c>
      <c r="L24" s="28">
        <v>1</v>
      </c>
      <c r="M24" s="28">
        <v>1</v>
      </c>
      <c r="N24" s="28">
        <v>0.3</v>
      </c>
      <c r="O24" s="28">
        <v>0.2</v>
      </c>
      <c r="P24" s="28">
        <v>0.2</v>
      </c>
      <c r="Q24" s="28">
        <v>0.1</v>
      </c>
      <c r="R24" s="28">
        <v>0.6</v>
      </c>
      <c r="S24" s="28">
        <v>1</v>
      </c>
      <c r="T24" s="28">
        <v>0.9</v>
      </c>
      <c r="U24" s="28">
        <v>0.9</v>
      </c>
      <c r="V24" s="29">
        <v>0</v>
      </c>
      <c r="W24" s="29">
        <v>0.1</v>
      </c>
      <c r="X24" s="29">
        <v>0.2</v>
      </c>
      <c r="Y24" s="29">
        <v>0.6</v>
      </c>
      <c r="Z24" s="29">
        <v>0.2</v>
      </c>
      <c r="AA24" s="29">
        <v>0.8</v>
      </c>
      <c r="AB24" s="29">
        <v>0.7</v>
      </c>
      <c r="AC24" s="29">
        <v>0.2</v>
      </c>
      <c r="AD24" s="29">
        <v>0</v>
      </c>
      <c r="AE24" s="29">
        <v>0.2</v>
      </c>
      <c r="AF24" s="29">
        <v>0.3</v>
      </c>
      <c r="AG24" s="29">
        <v>0.5</v>
      </c>
      <c r="AH24" s="29">
        <v>0.3</v>
      </c>
      <c r="AI24" s="29">
        <v>0.6</v>
      </c>
      <c r="AJ24" s="29">
        <v>0.4</v>
      </c>
      <c r="AK24" s="35">
        <v>0.3</v>
      </c>
    </row>
    <row r="25" spans="2:37" s="21" customFormat="1" ht="12.5" x14ac:dyDescent="0.25">
      <c r="B25" s="33" t="s">
        <v>2</v>
      </c>
      <c r="C25" s="22" t="s">
        <v>50</v>
      </c>
      <c r="D25" s="27" t="s">
        <v>9</v>
      </c>
      <c r="E25" s="22" t="s">
        <v>13</v>
      </c>
      <c r="F25" s="22" t="s">
        <v>11</v>
      </c>
      <c r="G25" s="28">
        <v>0.3</v>
      </c>
      <c r="H25" s="28">
        <v>0.8</v>
      </c>
      <c r="I25" s="28">
        <v>1</v>
      </c>
      <c r="J25" s="28">
        <v>0.8</v>
      </c>
      <c r="K25" s="28">
        <v>0.9</v>
      </c>
      <c r="L25" s="28">
        <v>1</v>
      </c>
      <c r="M25" s="28">
        <v>1</v>
      </c>
      <c r="N25" s="28">
        <v>0.2</v>
      </c>
      <c r="O25" s="28">
        <v>1</v>
      </c>
      <c r="P25" s="28">
        <v>0.6</v>
      </c>
      <c r="Q25" s="28">
        <v>0.7</v>
      </c>
      <c r="R25" s="28">
        <v>1</v>
      </c>
      <c r="S25" s="28">
        <v>1</v>
      </c>
      <c r="T25" s="28">
        <v>1</v>
      </c>
      <c r="U25" s="28">
        <v>1</v>
      </c>
      <c r="V25" s="29">
        <v>0</v>
      </c>
      <c r="W25" s="29">
        <v>0.1</v>
      </c>
      <c r="X25" s="29">
        <v>0.4</v>
      </c>
      <c r="Y25" s="29">
        <v>0.6</v>
      </c>
      <c r="Z25" s="29">
        <v>0.3</v>
      </c>
      <c r="AA25" s="29">
        <v>0.5</v>
      </c>
      <c r="AB25" s="29">
        <v>0.4</v>
      </c>
      <c r="AC25" s="29">
        <v>0.3</v>
      </c>
      <c r="AD25" s="29">
        <v>0.1</v>
      </c>
      <c r="AE25" s="29">
        <v>0.3</v>
      </c>
      <c r="AF25" s="29">
        <v>0.4</v>
      </c>
      <c r="AG25" s="29">
        <v>0.5</v>
      </c>
      <c r="AH25" s="29">
        <v>0.3</v>
      </c>
      <c r="AI25" s="29">
        <v>0.7</v>
      </c>
      <c r="AJ25" s="29">
        <v>0.6</v>
      </c>
      <c r="AK25" s="35">
        <v>0.5</v>
      </c>
    </row>
    <row r="26" spans="2:37" s="21" customFormat="1" ht="12.5" x14ac:dyDescent="0.25">
      <c r="B26" s="33" t="s">
        <v>2</v>
      </c>
      <c r="C26" s="22" t="s">
        <v>27</v>
      </c>
      <c r="D26" s="22" t="s">
        <v>12</v>
      </c>
      <c r="E26" s="22" t="s">
        <v>10</v>
      </c>
      <c r="F26" s="22" t="s">
        <v>11</v>
      </c>
      <c r="G26" s="28">
        <v>1</v>
      </c>
      <c r="H26" s="28">
        <v>0.7</v>
      </c>
      <c r="I26" s="28">
        <v>0.4</v>
      </c>
      <c r="J26" s="28">
        <v>1</v>
      </c>
      <c r="K26" s="28">
        <v>1</v>
      </c>
      <c r="L26" s="28">
        <v>1</v>
      </c>
      <c r="M26" s="28">
        <v>1</v>
      </c>
      <c r="N26" s="28">
        <v>0.2</v>
      </c>
      <c r="O26" s="28">
        <v>1</v>
      </c>
      <c r="P26" s="28">
        <v>0.5</v>
      </c>
      <c r="Q26" s="28">
        <v>0.7</v>
      </c>
      <c r="R26" s="28">
        <v>1</v>
      </c>
      <c r="S26" s="28">
        <v>1</v>
      </c>
      <c r="T26" s="28">
        <v>1</v>
      </c>
      <c r="U26" s="28">
        <v>1</v>
      </c>
      <c r="V26" s="29">
        <v>0.2</v>
      </c>
      <c r="W26" s="29">
        <v>0.3</v>
      </c>
      <c r="X26" s="29">
        <v>0.7</v>
      </c>
      <c r="Y26" s="29">
        <v>1</v>
      </c>
      <c r="Z26" s="29">
        <v>0.8</v>
      </c>
      <c r="AA26" s="29">
        <v>1</v>
      </c>
      <c r="AB26" s="29">
        <v>0.6</v>
      </c>
      <c r="AC26" s="29">
        <v>0.5</v>
      </c>
      <c r="AD26" s="29">
        <v>0</v>
      </c>
      <c r="AE26" s="29">
        <v>0.2</v>
      </c>
      <c r="AF26" s="29">
        <v>0.3</v>
      </c>
      <c r="AG26" s="29">
        <v>0.4</v>
      </c>
      <c r="AH26" s="29">
        <v>0.7</v>
      </c>
      <c r="AI26" s="29">
        <v>0.8</v>
      </c>
      <c r="AJ26" s="29">
        <v>0.6</v>
      </c>
      <c r="AK26" s="35">
        <v>0.6</v>
      </c>
    </row>
    <row r="27" spans="2:37" s="21" customFormat="1" ht="12.5" x14ac:dyDescent="0.25">
      <c r="B27" s="33" t="s">
        <v>2</v>
      </c>
      <c r="C27" s="22" t="s">
        <v>8</v>
      </c>
      <c r="D27" s="27" t="s">
        <v>4</v>
      </c>
      <c r="E27" s="22" t="s">
        <v>10</v>
      </c>
      <c r="F27" s="22" t="s">
        <v>14</v>
      </c>
      <c r="G27" s="28">
        <v>1</v>
      </c>
      <c r="H27" s="28">
        <v>1</v>
      </c>
      <c r="I27" s="28">
        <v>0.7</v>
      </c>
      <c r="J27" s="28">
        <v>1</v>
      </c>
      <c r="K27" s="28">
        <v>0.9</v>
      </c>
      <c r="L27" s="28">
        <v>1</v>
      </c>
      <c r="M27" s="28">
        <v>1</v>
      </c>
      <c r="N27" s="28">
        <v>0</v>
      </c>
      <c r="O27" s="28">
        <v>1</v>
      </c>
      <c r="P27" s="28">
        <v>0.4</v>
      </c>
      <c r="Q27" s="28">
        <v>0.8</v>
      </c>
      <c r="R27" s="28">
        <v>1</v>
      </c>
      <c r="S27" s="28">
        <v>1</v>
      </c>
      <c r="T27" s="28">
        <v>1</v>
      </c>
      <c r="U27" s="28">
        <v>1</v>
      </c>
      <c r="V27" s="29">
        <v>0</v>
      </c>
      <c r="W27" s="29">
        <v>0.2</v>
      </c>
      <c r="X27" s="29">
        <v>0.2</v>
      </c>
      <c r="Y27" s="29">
        <v>0.6</v>
      </c>
      <c r="Z27" s="29">
        <v>0.4</v>
      </c>
      <c r="AA27" s="29">
        <v>0.6</v>
      </c>
      <c r="AB27" s="29">
        <v>0.4</v>
      </c>
      <c r="AC27" s="29">
        <v>0.3</v>
      </c>
      <c r="AD27" s="29">
        <v>0.1</v>
      </c>
      <c r="AE27" s="29">
        <v>0.3</v>
      </c>
      <c r="AF27" s="29">
        <v>0.5</v>
      </c>
      <c r="AG27" s="29">
        <v>0.7</v>
      </c>
      <c r="AH27" s="29">
        <v>0.7</v>
      </c>
      <c r="AI27" s="29">
        <v>0.8</v>
      </c>
      <c r="AJ27" s="29">
        <v>0.5</v>
      </c>
      <c r="AK27" s="35">
        <v>0.6</v>
      </c>
    </row>
    <row r="28" spans="2:37" s="21" customFormat="1" ht="12.5" x14ac:dyDescent="0.25">
      <c r="B28" s="33" t="s">
        <v>7</v>
      </c>
      <c r="C28" s="22" t="s">
        <v>27</v>
      </c>
      <c r="D28" s="27" t="s">
        <v>9</v>
      </c>
      <c r="E28" s="22" t="s">
        <v>10</v>
      </c>
      <c r="F28" s="22" t="s">
        <v>11</v>
      </c>
      <c r="G28" s="28">
        <v>1</v>
      </c>
      <c r="H28" s="28">
        <v>0.9</v>
      </c>
      <c r="I28" s="28">
        <v>0.2</v>
      </c>
      <c r="J28" s="28">
        <v>1</v>
      </c>
      <c r="K28" s="28">
        <v>1</v>
      </c>
      <c r="L28" s="28">
        <v>1</v>
      </c>
      <c r="M28" s="28">
        <v>1</v>
      </c>
      <c r="N28" s="28">
        <v>0.2</v>
      </c>
      <c r="O28" s="28">
        <v>1</v>
      </c>
      <c r="P28" s="28">
        <v>0.3</v>
      </c>
      <c r="Q28" s="28">
        <v>0.6</v>
      </c>
      <c r="R28" s="28">
        <v>1</v>
      </c>
      <c r="S28" s="28">
        <v>1</v>
      </c>
      <c r="T28" s="28">
        <v>1</v>
      </c>
      <c r="U28" s="28">
        <v>1</v>
      </c>
      <c r="V28" s="29">
        <v>0</v>
      </c>
      <c r="W28" s="29">
        <v>0.1</v>
      </c>
      <c r="X28" s="29">
        <v>0.5</v>
      </c>
      <c r="Y28" s="29">
        <v>0.7</v>
      </c>
      <c r="Z28" s="29">
        <v>0.3</v>
      </c>
      <c r="AA28" s="29">
        <v>0.9</v>
      </c>
      <c r="AB28" s="29">
        <v>0.2</v>
      </c>
      <c r="AC28" s="29">
        <v>0.1</v>
      </c>
      <c r="AD28" s="29">
        <v>0</v>
      </c>
      <c r="AE28" s="29">
        <v>0.1</v>
      </c>
      <c r="AF28" s="29">
        <v>0.2</v>
      </c>
      <c r="AG28" s="29">
        <v>0.3</v>
      </c>
      <c r="AH28" s="29">
        <v>0.1</v>
      </c>
      <c r="AI28" s="29">
        <v>0.5</v>
      </c>
      <c r="AJ28" s="29">
        <v>0.1</v>
      </c>
      <c r="AK28" s="35">
        <v>0.2</v>
      </c>
    </row>
    <row r="29" spans="2:37" s="21" customFormat="1" ht="12.5" x14ac:dyDescent="0.25">
      <c r="B29" s="33" t="s">
        <v>7</v>
      </c>
      <c r="C29" s="22" t="s">
        <v>8</v>
      </c>
      <c r="D29" s="27" t="s">
        <v>9</v>
      </c>
      <c r="E29" s="22" t="s">
        <v>10</v>
      </c>
      <c r="F29" s="22" t="s">
        <v>11</v>
      </c>
      <c r="G29" s="28">
        <v>0.5</v>
      </c>
      <c r="H29" s="28">
        <v>0.9</v>
      </c>
      <c r="I29" s="28">
        <v>0.2</v>
      </c>
      <c r="J29" s="28">
        <v>0.8</v>
      </c>
      <c r="K29" s="28">
        <v>0.6</v>
      </c>
      <c r="L29" s="28">
        <v>0.3</v>
      </c>
      <c r="M29" s="28">
        <v>0.3</v>
      </c>
      <c r="N29" s="28">
        <v>0.1</v>
      </c>
      <c r="O29" s="28">
        <v>0.2</v>
      </c>
      <c r="P29" s="28">
        <v>0</v>
      </c>
      <c r="Q29" s="28">
        <v>0.1</v>
      </c>
      <c r="R29" s="28">
        <v>0.9</v>
      </c>
      <c r="S29" s="28">
        <v>0.8</v>
      </c>
      <c r="T29" s="28">
        <v>0.6</v>
      </c>
      <c r="U29" s="28">
        <v>0.6</v>
      </c>
      <c r="V29" s="29">
        <v>0</v>
      </c>
      <c r="W29" s="29">
        <v>0.1</v>
      </c>
      <c r="X29" s="29">
        <v>0.8</v>
      </c>
      <c r="Y29" s="29">
        <v>0.9</v>
      </c>
      <c r="Z29" s="29">
        <v>0.9</v>
      </c>
      <c r="AA29" s="29">
        <v>1</v>
      </c>
      <c r="AB29" s="29">
        <v>0.7</v>
      </c>
      <c r="AC29" s="29">
        <v>0.7</v>
      </c>
      <c r="AD29" s="29">
        <v>0</v>
      </c>
      <c r="AE29" s="29">
        <v>0.4</v>
      </c>
      <c r="AF29" s="29">
        <v>0.8</v>
      </c>
      <c r="AG29" s="29">
        <v>0.9</v>
      </c>
      <c r="AH29" s="29">
        <v>0.8</v>
      </c>
      <c r="AI29" s="29">
        <v>0.9</v>
      </c>
      <c r="AJ29" s="29">
        <v>0.6</v>
      </c>
      <c r="AK29" s="35">
        <v>0.4</v>
      </c>
    </row>
    <row r="30" spans="2:37" s="21" customFormat="1" ht="12.5" x14ac:dyDescent="0.25">
      <c r="B30" s="33" t="s">
        <v>7</v>
      </c>
      <c r="C30" s="22" t="s">
        <v>8</v>
      </c>
      <c r="D30" s="27" t="s">
        <v>9</v>
      </c>
      <c r="E30" s="22" t="s">
        <v>13</v>
      </c>
      <c r="F30" s="22" t="s">
        <v>14</v>
      </c>
      <c r="G30" s="28">
        <v>1</v>
      </c>
      <c r="H30" s="28">
        <v>0.6</v>
      </c>
      <c r="I30" s="28">
        <v>0.1</v>
      </c>
      <c r="J30" s="28">
        <v>0.7</v>
      </c>
      <c r="K30" s="28">
        <v>0.8</v>
      </c>
      <c r="L30" s="28">
        <v>0.7</v>
      </c>
      <c r="M30" s="28">
        <v>0.9</v>
      </c>
      <c r="N30" s="28">
        <v>0.1</v>
      </c>
      <c r="O30" s="28">
        <v>0.6</v>
      </c>
      <c r="P30" s="28">
        <v>0.3</v>
      </c>
      <c r="Q30" s="28">
        <v>0.4</v>
      </c>
      <c r="R30" s="28">
        <v>0.7</v>
      </c>
      <c r="S30" s="28">
        <v>0.9</v>
      </c>
      <c r="T30" s="28">
        <v>0.4</v>
      </c>
      <c r="U30" s="28">
        <v>0.5</v>
      </c>
      <c r="V30" s="29">
        <v>0</v>
      </c>
      <c r="W30" s="29">
        <v>0.2</v>
      </c>
      <c r="X30" s="29">
        <v>0.4</v>
      </c>
      <c r="Y30" s="29">
        <v>0.8</v>
      </c>
      <c r="Z30" s="29">
        <v>0.5</v>
      </c>
      <c r="AA30" s="29">
        <v>0.8</v>
      </c>
      <c r="AB30" s="29">
        <v>0.2</v>
      </c>
      <c r="AC30" s="29">
        <v>0.3</v>
      </c>
      <c r="AD30" s="29">
        <v>0</v>
      </c>
      <c r="AE30" s="29">
        <v>0.2</v>
      </c>
      <c r="AF30" s="29">
        <v>0.4</v>
      </c>
      <c r="AG30" s="29">
        <v>0.5</v>
      </c>
      <c r="AH30" s="29">
        <v>0.6</v>
      </c>
      <c r="AI30" s="29">
        <v>0.8</v>
      </c>
      <c r="AJ30" s="29">
        <v>0.1</v>
      </c>
      <c r="AK30" s="35">
        <v>0.2</v>
      </c>
    </row>
    <row r="31" spans="2:37" s="21" customFormat="1" ht="12.5" x14ac:dyDescent="0.25">
      <c r="B31" s="33" t="s">
        <v>2</v>
      </c>
      <c r="C31" s="22" t="s">
        <v>27</v>
      </c>
      <c r="D31" s="27" t="s">
        <v>9</v>
      </c>
      <c r="E31" s="22" t="s">
        <v>10</v>
      </c>
      <c r="F31" s="22" t="s">
        <v>17</v>
      </c>
      <c r="G31" s="28">
        <v>1</v>
      </c>
      <c r="H31" s="28">
        <v>1</v>
      </c>
      <c r="I31" s="28">
        <v>0.6</v>
      </c>
      <c r="J31" s="28">
        <v>1</v>
      </c>
      <c r="K31" s="28">
        <v>0.8</v>
      </c>
      <c r="L31" s="28">
        <v>1</v>
      </c>
      <c r="M31" s="28">
        <v>1</v>
      </c>
      <c r="N31" s="28">
        <v>0.2</v>
      </c>
      <c r="O31" s="28">
        <v>0.7</v>
      </c>
      <c r="P31" s="28">
        <v>0.5</v>
      </c>
      <c r="Q31" s="28">
        <v>0.6</v>
      </c>
      <c r="R31" s="28">
        <v>0.8</v>
      </c>
      <c r="S31" s="28">
        <v>1</v>
      </c>
      <c r="T31" s="28">
        <v>0.9</v>
      </c>
      <c r="U31" s="28">
        <v>0.8</v>
      </c>
      <c r="V31" s="29">
        <v>0.1</v>
      </c>
      <c r="W31" s="29">
        <v>0.4</v>
      </c>
      <c r="X31" s="29">
        <v>0.6</v>
      </c>
      <c r="Y31" s="29">
        <v>1</v>
      </c>
      <c r="Z31" s="29">
        <v>0.8</v>
      </c>
      <c r="AA31" s="29">
        <v>1</v>
      </c>
      <c r="AB31" s="29">
        <v>1</v>
      </c>
      <c r="AC31" s="29">
        <v>0.9</v>
      </c>
      <c r="AD31" s="29">
        <v>0</v>
      </c>
      <c r="AE31" s="29">
        <v>0.5</v>
      </c>
      <c r="AF31" s="29">
        <v>0.7</v>
      </c>
      <c r="AG31" s="29">
        <v>0.2</v>
      </c>
      <c r="AH31" s="29">
        <v>0.2</v>
      </c>
      <c r="AI31" s="29">
        <v>0.6</v>
      </c>
      <c r="AJ31" s="29">
        <v>0.3</v>
      </c>
      <c r="AK31" s="35">
        <v>0.4</v>
      </c>
    </row>
    <row r="32" spans="2:37" s="21" customFormat="1" ht="12.5" x14ac:dyDescent="0.25">
      <c r="B32" s="33" t="s">
        <v>2</v>
      </c>
      <c r="C32" s="22" t="s">
        <v>8</v>
      </c>
      <c r="D32" s="22" t="s">
        <v>12</v>
      </c>
      <c r="E32" s="22" t="s">
        <v>16</v>
      </c>
      <c r="F32" s="22" t="s">
        <v>17</v>
      </c>
      <c r="G32" s="28">
        <v>0.7</v>
      </c>
      <c r="H32" s="28">
        <v>0.9</v>
      </c>
      <c r="I32" s="28">
        <v>0.5</v>
      </c>
      <c r="J32" s="28">
        <v>0.6</v>
      </c>
      <c r="K32" s="28">
        <v>0.9</v>
      </c>
      <c r="L32" s="28">
        <v>0.5</v>
      </c>
      <c r="M32" s="28">
        <v>0.4</v>
      </c>
      <c r="N32" s="28">
        <v>0.5</v>
      </c>
      <c r="O32" s="28">
        <v>0.7</v>
      </c>
      <c r="P32" s="28">
        <v>0.6</v>
      </c>
      <c r="Q32" s="28">
        <v>0.5</v>
      </c>
      <c r="R32" s="28">
        <v>0.7</v>
      </c>
      <c r="S32" s="28">
        <v>0.9</v>
      </c>
      <c r="T32" s="28">
        <v>0.6</v>
      </c>
      <c r="U32" s="28">
        <v>0.5</v>
      </c>
      <c r="V32" s="29">
        <v>0.6</v>
      </c>
      <c r="W32" s="29">
        <v>0.6</v>
      </c>
      <c r="X32" s="29">
        <v>0.8</v>
      </c>
      <c r="Y32" s="29">
        <v>0.9</v>
      </c>
      <c r="Z32" s="29">
        <v>0.8</v>
      </c>
      <c r="AA32" s="29">
        <v>0.9</v>
      </c>
      <c r="AB32" s="29">
        <v>0.7</v>
      </c>
      <c r="AC32" s="29">
        <v>0.6</v>
      </c>
      <c r="AD32" s="29">
        <v>0.5</v>
      </c>
      <c r="AE32" s="29">
        <v>0.6</v>
      </c>
      <c r="AF32" s="29">
        <v>0.8</v>
      </c>
      <c r="AG32" s="29">
        <v>0.9</v>
      </c>
      <c r="AH32" s="29">
        <v>0.8</v>
      </c>
      <c r="AI32" s="29">
        <v>0.9</v>
      </c>
      <c r="AJ32" s="29">
        <v>0.6</v>
      </c>
      <c r="AK32" s="35">
        <v>0.6</v>
      </c>
    </row>
    <row r="33" spans="1:39" s="21" customFormat="1" ht="13" thickBot="1" x14ac:dyDescent="0.3">
      <c r="B33" s="36" t="s">
        <v>2</v>
      </c>
      <c r="C33" s="37" t="s">
        <v>8</v>
      </c>
      <c r="D33" s="38" t="s">
        <v>9</v>
      </c>
      <c r="E33" s="37" t="s">
        <v>16</v>
      </c>
      <c r="F33" s="57" t="s">
        <v>17</v>
      </c>
      <c r="G33" s="58">
        <v>1</v>
      </c>
      <c r="H33" s="58">
        <v>0.8</v>
      </c>
      <c r="I33" s="58">
        <v>0.4</v>
      </c>
      <c r="J33" s="58">
        <v>0.9</v>
      </c>
      <c r="K33" s="58">
        <v>0.7</v>
      </c>
      <c r="L33" s="58">
        <v>0.8</v>
      </c>
      <c r="M33" s="58">
        <v>1</v>
      </c>
      <c r="N33" s="58">
        <v>0.2</v>
      </c>
      <c r="O33" s="58">
        <v>1</v>
      </c>
      <c r="P33" s="58">
        <v>0.4</v>
      </c>
      <c r="Q33" s="58">
        <v>0.5</v>
      </c>
      <c r="R33" s="58">
        <v>1</v>
      </c>
      <c r="S33" s="58">
        <v>1</v>
      </c>
      <c r="T33" s="58">
        <v>1</v>
      </c>
      <c r="U33" s="58">
        <v>1</v>
      </c>
      <c r="V33" s="59">
        <v>0</v>
      </c>
      <c r="W33" s="59">
        <v>0.1</v>
      </c>
      <c r="X33" s="59">
        <v>0.2</v>
      </c>
      <c r="Y33" s="59">
        <v>0.4</v>
      </c>
      <c r="Z33" s="59">
        <v>0.2</v>
      </c>
      <c r="AA33" s="59">
        <v>0.8</v>
      </c>
      <c r="AB33" s="59">
        <v>0.6</v>
      </c>
      <c r="AC33" s="59">
        <v>0.4</v>
      </c>
      <c r="AD33" s="59">
        <v>0</v>
      </c>
      <c r="AE33" s="59">
        <v>0.2</v>
      </c>
      <c r="AF33" s="59">
        <v>0.3</v>
      </c>
      <c r="AG33" s="59">
        <v>0.4</v>
      </c>
      <c r="AH33" s="59">
        <v>0.3</v>
      </c>
      <c r="AI33" s="59">
        <v>0.7</v>
      </c>
      <c r="AJ33" s="59">
        <v>0.5</v>
      </c>
      <c r="AK33" s="60">
        <v>0.6</v>
      </c>
    </row>
    <row r="34" spans="1:39" ht="15.75" customHeight="1" x14ac:dyDescent="0.25">
      <c r="F34" s="87" t="s">
        <v>19</v>
      </c>
      <c r="G34" s="88">
        <f t="shared" ref="G34:AK34" si="0">AVERAGE(G7:G33)</f>
        <v>0.88518518518518519</v>
      </c>
      <c r="H34" s="88">
        <f t="shared" si="0"/>
        <v>0.78518518518518521</v>
      </c>
      <c r="I34" s="88">
        <f t="shared" si="0"/>
        <v>0.35185185185185186</v>
      </c>
      <c r="J34" s="88">
        <f t="shared" si="0"/>
        <v>0.89259259259259283</v>
      </c>
      <c r="K34" s="88">
        <f t="shared" si="0"/>
        <v>0.8222222222222223</v>
      </c>
      <c r="L34" s="88">
        <f t="shared" si="0"/>
        <v>0.87407407407407411</v>
      </c>
      <c r="M34" s="88">
        <f t="shared" si="0"/>
        <v>0.89629629629629626</v>
      </c>
      <c r="N34" s="88">
        <f t="shared" si="0"/>
        <v>0.29259259259259263</v>
      </c>
      <c r="O34" s="88">
        <f t="shared" si="0"/>
        <v>0.79629629629629628</v>
      </c>
      <c r="P34" s="88">
        <f t="shared" si="0"/>
        <v>0.38888888888888895</v>
      </c>
      <c r="Q34" s="88">
        <f t="shared" si="0"/>
        <v>0.53333333333333333</v>
      </c>
      <c r="R34" s="88">
        <f t="shared" si="0"/>
        <v>0.86296296296296304</v>
      </c>
      <c r="S34" s="88">
        <f t="shared" si="0"/>
        <v>0.90370370370370368</v>
      </c>
      <c r="T34" s="88">
        <f t="shared" si="0"/>
        <v>0.84444444444444433</v>
      </c>
      <c r="U34" s="88">
        <f t="shared" si="0"/>
        <v>0.85555555555555574</v>
      </c>
      <c r="V34" s="88">
        <f t="shared" si="0"/>
        <v>0.1</v>
      </c>
      <c r="W34" s="88">
        <f t="shared" si="0"/>
        <v>0.25925925925925924</v>
      </c>
      <c r="X34" s="88">
        <f t="shared" si="0"/>
        <v>0.48888888888888887</v>
      </c>
      <c r="Y34" s="88">
        <f t="shared" si="0"/>
        <v>0.77037037037037026</v>
      </c>
      <c r="Z34" s="88">
        <f t="shared" si="0"/>
        <v>0.54814814814814827</v>
      </c>
      <c r="AA34" s="88">
        <f t="shared" si="0"/>
        <v>0.82592592592592606</v>
      </c>
      <c r="AB34" s="88">
        <f t="shared" si="0"/>
        <v>0.54444444444444429</v>
      </c>
      <c r="AC34" s="88">
        <f t="shared" si="0"/>
        <v>0.43703703703703706</v>
      </c>
      <c r="AD34" s="88">
        <f t="shared" si="0"/>
        <v>5.9259259259259255E-2</v>
      </c>
      <c r="AE34" s="88">
        <f t="shared" si="0"/>
        <v>0.29259259259259257</v>
      </c>
      <c r="AF34" s="88">
        <f t="shared" si="0"/>
        <v>0.46666666666666673</v>
      </c>
      <c r="AG34" s="88">
        <f t="shared" si="0"/>
        <v>0.57037037037037042</v>
      </c>
      <c r="AH34" s="88">
        <f t="shared" si="0"/>
        <v>0.51851851851851849</v>
      </c>
      <c r="AI34" s="88">
        <f t="shared" si="0"/>
        <v>0.78148148148148144</v>
      </c>
      <c r="AJ34" s="88">
        <f t="shared" si="0"/>
        <v>0.4592592592592592</v>
      </c>
      <c r="AK34" s="89">
        <f t="shared" si="0"/>
        <v>0.42962962962962953</v>
      </c>
    </row>
    <row r="35" spans="1:39" ht="15.75" customHeight="1" x14ac:dyDescent="0.25">
      <c r="F35" s="67" t="s">
        <v>18</v>
      </c>
      <c r="G35" s="61">
        <f t="shared" ref="G35:AK35" si="1">MEDIAN(G7:G33)</f>
        <v>1</v>
      </c>
      <c r="H35" s="61">
        <f t="shared" si="1"/>
        <v>0.8</v>
      </c>
      <c r="I35" s="61">
        <f t="shared" si="1"/>
        <v>0.4</v>
      </c>
      <c r="J35" s="61">
        <f t="shared" si="1"/>
        <v>1</v>
      </c>
      <c r="K35" s="61">
        <f t="shared" si="1"/>
        <v>0.9</v>
      </c>
      <c r="L35" s="61">
        <f t="shared" si="1"/>
        <v>1</v>
      </c>
      <c r="M35" s="61">
        <f t="shared" si="1"/>
        <v>1</v>
      </c>
      <c r="N35" s="61">
        <f t="shared" si="1"/>
        <v>0.2</v>
      </c>
      <c r="O35" s="61">
        <f t="shared" si="1"/>
        <v>0.9</v>
      </c>
      <c r="P35" s="61">
        <f t="shared" si="1"/>
        <v>0.4</v>
      </c>
      <c r="Q35" s="61">
        <f t="shared" si="1"/>
        <v>0.6</v>
      </c>
      <c r="R35" s="61">
        <f t="shared" si="1"/>
        <v>0.9</v>
      </c>
      <c r="S35" s="61">
        <f t="shared" si="1"/>
        <v>1</v>
      </c>
      <c r="T35" s="61">
        <f t="shared" si="1"/>
        <v>1</v>
      </c>
      <c r="U35" s="61">
        <f t="shared" si="1"/>
        <v>1</v>
      </c>
      <c r="V35" s="61">
        <f t="shared" si="1"/>
        <v>0</v>
      </c>
      <c r="W35" s="61">
        <f t="shared" si="1"/>
        <v>0.2</v>
      </c>
      <c r="X35" s="61">
        <f t="shared" si="1"/>
        <v>0.5</v>
      </c>
      <c r="Y35" s="61">
        <f t="shared" si="1"/>
        <v>0.8</v>
      </c>
      <c r="Z35" s="61">
        <f t="shared" si="1"/>
        <v>0.5</v>
      </c>
      <c r="AA35" s="61">
        <f t="shared" si="1"/>
        <v>0.9</v>
      </c>
      <c r="AB35" s="61">
        <f t="shared" si="1"/>
        <v>0.6</v>
      </c>
      <c r="AC35" s="61">
        <f t="shared" si="1"/>
        <v>0.5</v>
      </c>
      <c r="AD35" s="61">
        <f t="shared" si="1"/>
        <v>0</v>
      </c>
      <c r="AE35" s="61">
        <f t="shared" si="1"/>
        <v>0.2</v>
      </c>
      <c r="AF35" s="61">
        <f t="shared" si="1"/>
        <v>0.4</v>
      </c>
      <c r="AG35" s="61">
        <f t="shared" si="1"/>
        <v>0.5</v>
      </c>
      <c r="AH35" s="61">
        <f t="shared" si="1"/>
        <v>0.6</v>
      </c>
      <c r="AI35" s="61">
        <f t="shared" si="1"/>
        <v>0.8</v>
      </c>
      <c r="AJ35" s="61">
        <f t="shared" si="1"/>
        <v>0.5</v>
      </c>
      <c r="AK35" s="68">
        <f t="shared" si="1"/>
        <v>0.5</v>
      </c>
      <c r="AL35" t="s">
        <v>58</v>
      </c>
      <c r="AM35" t="s">
        <v>57</v>
      </c>
    </row>
    <row r="36" spans="1:39" ht="15.75" customHeight="1" x14ac:dyDescent="0.25">
      <c r="F36" s="67" t="s">
        <v>48</v>
      </c>
      <c r="G36" s="61">
        <f t="shared" ref="G36:AK36" si="2">STDEV(G7:G33)</f>
        <v>0.23321120124784814</v>
      </c>
      <c r="H36" s="61">
        <f t="shared" si="2"/>
        <v>0.22481394650090261</v>
      </c>
      <c r="I36" s="61">
        <f t="shared" si="2"/>
        <v>0.2778632347180483</v>
      </c>
      <c r="J36" s="61">
        <f t="shared" si="2"/>
        <v>0.15172324482406302</v>
      </c>
      <c r="K36" s="61">
        <f t="shared" si="2"/>
        <v>0.16946370914726422</v>
      </c>
      <c r="L36" s="61">
        <f t="shared" si="2"/>
        <v>0.21589276645984823</v>
      </c>
      <c r="M36" s="61">
        <f t="shared" si="2"/>
        <v>0.22614066670902233</v>
      </c>
      <c r="N36" s="61">
        <f t="shared" si="2"/>
        <v>0.25559271376084908</v>
      </c>
      <c r="O36" s="61">
        <f t="shared" si="2"/>
        <v>0.24881485467879885</v>
      </c>
      <c r="P36" s="61">
        <f t="shared" si="2"/>
        <v>0.21363760352762237</v>
      </c>
      <c r="Q36" s="61">
        <f t="shared" si="2"/>
        <v>0.26602486870447056</v>
      </c>
      <c r="R36" s="61">
        <f t="shared" si="2"/>
        <v>0.16675211484796176</v>
      </c>
      <c r="S36" s="61">
        <f t="shared" si="2"/>
        <v>0.15312509084827869</v>
      </c>
      <c r="T36" s="61">
        <f t="shared" si="2"/>
        <v>0.22926862533740325</v>
      </c>
      <c r="U36" s="61">
        <f t="shared" si="2"/>
        <v>0.23259957889592969</v>
      </c>
      <c r="V36" s="61">
        <f t="shared" si="2"/>
        <v>0.22449944320643647</v>
      </c>
      <c r="W36" s="61">
        <f t="shared" si="2"/>
        <v>0.16233692233523583</v>
      </c>
      <c r="X36" s="61">
        <f t="shared" si="2"/>
        <v>0.21543039806456399</v>
      </c>
      <c r="Y36" s="61">
        <f t="shared" si="2"/>
        <v>0.19178275934146682</v>
      </c>
      <c r="Z36" s="61">
        <f t="shared" si="2"/>
        <v>0.26219542091050818</v>
      </c>
      <c r="AA36" s="61">
        <f t="shared" si="2"/>
        <v>0.20113637278185234</v>
      </c>
      <c r="AB36" s="61">
        <f t="shared" si="2"/>
        <v>0.25919005995502109</v>
      </c>
      <c r="AC36" s="61">
        <f t="shared" si="2"/>
        <v>0.2420237562213646</v>
      </c>
      <c r="AD36" s="61">
        <f t="shared" si="2"/>
        <v>0.1152230587875243</v>
      </c>
      <c r="AE36" s="61">
        <f t="shared" si="2"/>
        <v>0.16853651949817414</v>
      </c>
      <c r="AF36" s="61">
        <f t="shared" si="2"/>
        <v>0.23858557568108954</v>
      </c>
      <c r="AG36" s="61">
        <f t="shared" si="2"/>
        <v>0.23339437540980823</v>
      </c>
      <c r="AH36" s="61">
        <f t="shared" si="2"/>
        <v>0.28694282067370541</v>
      </c>
      <c r="AI36" s="61">
        <f t="shared" si="2"/>
        <v>0.2000712123932131</v>
      </c>
      <c r="AJ36" s="61">
        <f t="shared" si="2"/>
        <v>0.22059231324089407</v>
      </c>
      <c r="AK36" s="68">
        <f t="shared" si="2"/>
        <v>0.22328804235236149</v>
      </c>
      <c r="AL36" s="18">
        <f>MAX(Form_Responses[[#This Row],[Column13]:[Column43]])</f>
        <v>0.28694282067370541</v>
      </c>
      <c r="AM36" s="18">
        <f>MIN(Form_Responses[[#This Row],[Column13]:[Column43]])</f>
        <v>0.1152230587875243</v>
      </c>
    </row>
    <row r="37" spans="1:39" s="1" customFormat="1" ht="15.75" customHeight="1" x14ac:dyDescent="0.3">
      <c r="A37"/>
      <c r="B37"/>
      <c r="C37"/>
      <c r="D37"/>
      <c r="E37"/>
      <c r="F37" s="69" t="s">
        <v>63</v>
      </c>
      <c r="G37" s="62">
        <v>1</v>
      </c>
      <c r="H37" s="62">
        <v>0.96</v>
      </c>
      <c r="I37" s="62">
        <v>0.91</v>
      </c>
      <c r="J37" s="62">
        <v>0.98</v>
      </c>
      <c r="K37" s="62">
        <v>0.9</v>
      </c>
      <c r="L37" s="62">
        <v>0.97</v>
      </c>
      <c r="M37" s="62">
        <v>0.97</v>
      </c>
      <c r="N37" s="62">
        <v>0</v>
      </c>
      <c r="O37" s="62">
        <v>1</v>
      </c>
      <c r="P37" s="62">
        <v>0.6</v>
      </c>
      <c r="Q37" s="62">
        <v>0.76</v>
      </c>
      <c r="R37" s="62">
        <v>0.51</v>
      </c>
      <c r="S37" s="62">
        <v>1</v>
      </c>
      <c r="T37" s="62">
        <v>1</v>
      </c>
      <c r="U37" s="62">
        <v>1</v>
      </c>
      <c r="V37" s="62">
        <v>0.05</v>
      </c>
      <c r="W37" s="62">
        <v>0.08</v>
      </c>
      <c r="X37" s="62">
        <v>0.25</v>
      </c>
      <c r="Y37" s="62">
        <v>0.47</v>
      </c>
      <c r="Z37" s="62">
        <v>0.35</v>
      </c>
      <c r="AA37" s="62">
        <v>0.66</v>
      </c>
      <c r="AB37" s="62">
        <v>0.19</v>
      </c>
      <c r="AC37" s="62">
        <v>0.19</v>
      </c>
      <c r="AD37" s="62">
        <v>0.03</v>
      </c>
      <c r="AE37" s="62">
        <v>0.09</v>
      </c>
      <c r="AF37" s="62">
        <v>0.21</v>
      </c>
      <c r="AG37" s="62">
        <v>0.22</v>
      </c>
      <c r="AH37" s="62">
        <v>0.28999999999999998</v>
      </c>
      <c r="AI37" s="62">
        <v>0.49</v>
      </c>
      <c r="AJ37" s="62">
        <v>0.31</v>
      </c>
      <c r="AK37" s="70">
        <v>0.21</v>
      </c>
    </row>
    <row r="38" spans="1:39" ht="15.75" customHeight="1" x14ac:dyDescent="0.25">
      <c r="F38" s="71" t="s">
        <v>64</v>
      </c>
      <c r="G38" s="14">
        <f>_xlfn.RANK.AVG(G35,$G$35:$M$35,1)</f>
        <v>5.5</v>
      </c>
      <c r="H38" s="14">
        <f t="shared" ref="H38:M38" si="3">_xlfn.RANK.AVG(H35,$G$35:$M$35,1)</f>
        <v>2</v>
      </c>
      <c r="I38" s="14">
        <f t="shared" si="3"/>
        <v>1</v>
      </c>
      <c r="J38" s="14">
        <f t="shared" si="3"/>
        <v>5.5</v>
      </c>
      <c r="K38" s="14">
        <f t="shared" si="3"/>
        <v>3</v>
      </c>
      <c r="L38" s="14">
        <f t="shared" si="3"/>
        <v>5.5</v>
      </c>
      <c r="M38" s="14">
        <f t="shared" si="3"/>
        <v>5.5</v>
      </c>
      <c r="N38" s="14">
        <f>_xlfn.RANK.AVG(N35,$N$35:$U$35,1)</f>
        <v>1</v>
      </c>
      <c r="O38" s="14">
        <f t="shared" ref="O38:U38" si="4">_xlfn.RANK.AVG(O35,$N$35:$U$35,1)</f>
        <v>4.5</v>
      </c>
      <c r="P38" s="14">
        <f t="shared" si="4"/>
        <v>2</v>
      </c>
      <c r="Q38" s="14">
        <f t="shared" si="4"/>
        <v>3</v>
      </c>
      <c r="R38" s="14">
        <f t="shared" si="4"/>
        <v>4.5</v>
      </c>
      <c r="S38" s="14">
        <f t="shared" si="4"/>
        <v>7</v>
      </c>
      <c r="T38" s="14">
        <f t="shared" si="4"/>
        <v>7</v>
      </c>
      <c r="U38" s="14">
        <f t="shared" si="4"/>
        <v>7</v>
      </c>
      <c r="V38" s="14">
        <f>_xlfn.RANK.AVG(V35,$V$35:$AC$35,1)</f>
        <v>1</v>
      </c>
      <c r="W38" s="14">
        <f t="shared" ref="W38:AC38" si="5">_xlfn.RANK.AVG(W35,$V$35:$AC$35,1)</f>
        <v>2</v>
      </c>
      <c r="X38" s="14">
        <f t="shared" si="5"/>
        <v>4</v>
      </c>
      <c r="Y38" s="14">
        <f t="shared" si="5"/>
        <v>7</v>
      </c>
      <c r="Z38" s="14">
        <f t="shared" si="5"/>
        <v>4</v>
      </c>
      <c r="AA38" s="14">
        <f t="shared" si="5"/>
        <v>8</v>
      </c>
      <c r="AB38" s="14">
        <f t="shared" si="5"/>
        <v>6</v>
      </c>
      <c r="AC38" s="14">
        <f t="shared" si="5"/>
        <v>4</v>
      </c>
      <c r="AD38" s="14">
        <f>_xlfn.RANK.AVG(AD35,$AD$35:$AK$35,1)</f>
        <v>1</v>
      </c>
      <c r="AE38" s="14">
        <f t="shared" ref="AE38:AK38" si="6">_xlfn.RANK.AVG(AE35,$AD$35:$AK$35,1)</f>
        <v>2</v>
      </c>
      <c r="AF38" s="14">
        <f t="shared" si="6"/>
        <v>3</v>
      </c>
      <c r="AG38" s="14">
        <f t="shared" si="6"/>
        <v>5</v>
      </c>
      <c r="AH38" s="14">
        <f t="shared" si="6"/>
        <v>7</v>
      </c>
      <c r="AI38" s="14">
        <f t="shared" si="6"/>
        <v>8</v>
      </c>
      <c r="AJ38" s="14">
        <f t="shared" si="6"/>
        <v>5</v>
      </c>
      <c r="AK38" s="72">
        <f t="shared" si="6"/>
        <v>5</v>
      </c>
    </row>
    <row r="39" spans="1:39" ht="15.75" customHeight="1" x14ac:dyDescent="0.25">
      <c r="F39" s="71" t="s">
        <v>65</v>
      </c>
      <c r="G39" s="14">
        <f>_xlfn.RANK.AVG(G37,$G$37:$M$37,1)</f>
        <v>7</v>
      </c>
      <c r="H39" s="14">
        <f t="shared" ref="H39:M39" si="7">_xlfn.RANK.AVG(H37,$G$37:$M$37,1)</f>
        <v>3</v>
      </c>
      <c r="I39" s="14">
        <f t="shared" si="7"/>
        <v>2</v>
      </c>
      <c r="J39" s="14">
        <f t="shared" si="7"/>
        <v>6</v>
      </c>
      <c r="K39" s="14">
        <f t="shared" si="7"/>
        <v>1</v>
      </c>
      <c r="L39" s="14">
        <f t="shared" si="7"/>
        <v>4.5</v>
      </c>
      <c r="M39" s="14">
        <f t="shared" si="7"/>
        <v>4.5</v>
      </c>
      <c r="N39" s="14">
        <f>_xlfn.RANK.AVG(N37,$N$37:$U$37,1)</f>
        <v>1</v>
      </c>
      <c r="O39" s="14">
        <f t="shared" ref="O39:U39" si="8">_xlfn.RANK.AVG(O37,$N$37:$U$37,1)</f>
        <v>6.5</v>
      </c>
      <c r="P39" s="14">
        <f t="shared" si="8"/>
        <v>3</v>
      </c>
      <c r="Q39" s="14">
        <f t="shared" si="8"/>
        <v>4</v>
      </c>
      <c r="R39" s="14">
        <f t="shared" si="8"/>
        <v>2</v>
      </c>
      <c r="S39" s="14">
        <f t="shared" si="8"/>
        <v>6.5</v>
      </c>
      <c r="T39" s="14">
        <f t="shared" si="8"/>
        <v>6.5</v>
      </c>
      <c r="U39" s="14">
        <f t="shared" si="8"/>
        <v>6.5</v>
      </c>
      <c r="V39" s="14">
        <f>_xlfn.RANK.AVG(V37,$V$37:$AC$37,1)</f>
        <v>1</v>
      </c>
      <c r="W39" s="14">
        <f t="shared" ref="W39:AC39" si="9">_xlfn.RANK.AVG(W37,$V$37:$AC$37,1)</f>
        <v>2</v>
      </c>
      <c r="X39" s="14">
        <f t="shared" si="9"/>
        <v>5</v>
      </c>
      <c r="Y39" s="14">
        <f t="shared" si="9"/>
        <v>7</v>
      </c>
      <c r="Z39" s="14">
        <f t="shared" si="9"/>
        <v>6</v>
      </c>
      <c r="AA39" s="14">
        <f t="shared" si="9"/>
        <v>8</v>
      </c>
      <c r="AB39" s="14">
        <f t="shared" si="9"/>
        <v>3.5</v>
      </c>
      <c r="AC39" s="14">
        <f t="shared" si="9"/>
        <v>3.5</v>
      </c>
      <c r="AD39" s="14">
        <f>_xlfn.RANK.AVG(AD37,$AD$37:$AK$37,1)</f>
        <v>1</v>
      </c>
      <c r="AE39" s="14">
        <f t="shared" ref="AE39:AK39" si="10">_xlfn.RANK.AVG(AE37,$AD$37:$AK$37,1)</f>
        <v>2</v>
      </c>
      <c r="AF39" s="14">
        <f t="shared" si="10"/>
        <v>3.5</v>
      </c>
      <c r="AG39" s="14">
        <f t="shared" si="10"/>
        <v>5</v>
      </c>
      <c r="AH39" s="14">
        <f t="shared" si="10"/>
        <v>6</v>
      </c>
      <c r="AI39" s="14">
        <f t="shared" si="10"/>
        <v>8</v>
      </c>
      <c r="AJ39" s="14">
        <f t="shared" si="10"/>
        <v>7</v>
      </c>
      <c r="AK39" s="72">
        <f t="shared" si="10"/>
        <v>3.5</v>
      </c>
    </row>
    <row r="40" spans="1:39" ht="15.75" customHeight="1" x14ac:dyDescent="0.3">
      <c r="F40" s="73" t="s">
        <v>49</v>
      </c>
      <c r="G40" s="94">
        <f>CORREL(G38:M38,G39:M39)</f>
        <v>0.79524277248754416</v>
      </c>
      <c r="H40" s="63"/>
      <c r="I40" s="63"/>
      <c r="J40" s="63"/>
      <c r="K40" s="63"/>
      <c r="L40" s="63"/>
      <c r="M40" s="63"/>
      <c r="N40" s="95">
        <f>CORREL(N38:U38,N39:U39)</f>
        <v>0.83050895532300384</v>
      </c>
      <c r="O40" s="63"/>
      <c r="P40" s="63"/>
      <c r="Q40" s="63"/>
      <c r="R40" s="63"/>
      <c r="S40" s="63"/>
      <c r="T40" s="63"/>
      <c r="U40" s="63"/>
      <c r="V40" s="95">
        <f>CORREL(V38:AC38,V39:AC39)</f>
        <v>0.85904121392917787</v>
      </c>
      <c r="W40" s="63"/>
      <c r="X40" s="63"/>
      <c r="Y40" s="63"/>
      <c r="Z40" s="63"/>
      <c r="AA40" s="63"/>
      <c r="AB40" s="63"/>
      <c r="AC40" s="63"/>
      <c r="AD40" s="95">
        <f>CORREL(AD38:AK38,AD39:AK39)</f>
        <v>0.90812928329655951</v>
      </c>
      <c r="AE40" s="63"/>
      <c r="AF40" s="63"/>
      <c r="AG40" s="63"/>
      <c r="AH40" s="63"/>
      <c r="AI40" s="63"/>
      <c r="AJ40" s="63"/>
      <c r="AK40" s="74"/>
    </row>
    <row r="41" spans="1:39" ht="15.75" customHeight="1" x14ac:dyDescent="0.25">
      <c r="F41" s="71" t="s">
        <v>22</v>
      </c>
      <c r="G41" s="65">
        <f>ABS(G35-G37)</f>
        <v>0</v>
      </c>
      <c r="H41" s="65">
        <f t="shared" ref="H41:AK41" si="11">ABS(H35-H37)</f>
        <v>0.15999999999999992</v>
      </c>
      <c r="I41" s="65">
        <f t="shared" si="11"/>
        <v>0.51</v>
      </c>
      <c r="J41" s="65">
        <f t="shared" si="11"/>
        <v>2.0000000000000018E-2</v>
      </c>
      <c r="K41" s="65">
        <f t="shared" si="11"/>
        <v>0</v>
      </c>
      <c r="L41" s="65">
        <f t="shared" si="11"/>
        <v>3.0000000000000027E-2</v>
      </c>
      <c r="M41" s="65">
        <f t="shared" si="11"/>
        <v>3.0000000000000027E-2</v>
      </c>
      <c r="N41" s="65">
        <f t="shared" si="11"/>
        <v>0.2</v>
      </c>
      <c r="O41" s="65">
        <f t="shared" si="11"/>
        <v>9.9999999999999978E-2</v>
      </c>
      <c r="P41" s="65">
        <f t="shared" si="11"/>
        <v>0.19999999999999996</v>
      </c>
      <c r="Q41" s="65">
        <f t="shared" si="11"/>
        <v>0.16000000000000003</v>
      </c>
      <c r="R41" s="65">
        <f t="shared" si="11"/>
        <v>0.39</v>
      </c>
      <c r="S41" s="65">
        <f t="shared" si="11"/>
        <v>0</v>
      </c>
      <c r="T41" s="65">
        <f t="shared" si="11"/>
        <v>0</v>
      </c>
      <c r="U41" s="65">
        <f t="shared" si="11"/>
        <v>0</v>
      </c>
      <c r="V41" s="65">
        <f t="shared" si="11"/>
        <v>0.05</v>
      </c>
      <c r="W41" s="65">
        <f t="shared" si="11"/>
        <v>0.12000000000000001</v>
      </c>
      <c r="X41" s="65">
        <f t="shared" si="11"/>
        <v>0.25</v>
      </c>
      <c r="Y41" s="65">
        <f t="shared" si="11"/>
        <v>0.33000000000000007</v>
      </c>
      <c r="Z41" s="65">
        <f t="shared" si="11"/>
        <v>0.15000000000000002</v>
      </c>
      <c r="AA41" s="65">
        <f t="shared" si="11"/>
        <v>0.24</v>
      </c>
      <c r="AB41" s="65">
        <f t="shared" si="11"/>
        <v>0.41</v>
      </c>
      <c r="AC41" s="65">
        <f t="shared" si="11"/>
        <v>0.31</v>
      </c>
      <c r="AD41" s="65">
        <f t="shared" si="11"/>
        <v>0.03</v>
      </c>
      <c r="AE41" s="65">
        <f t="shared" si="11"/>
        <v>0.11000000000000001</v>
      </c>
      <c r="AF41" s="65">
        <f t="shared" si="11"/>
        <v>0.19000000000000003</v>
      </c>
      <c r="AG41" s="65">
        <f t="shared" si="11"/>
        <v>0.28000000000000003</v>
      </c>
      <c r="AH41" s="65">
        <f t="shared" si="11"/>
        <v>0.31</v>
      </c>
      <c r="AI41" s="65">
        <f t="shared" si="11"/>
        <v>0.31000000000000005</v>
      </c>
      <c r="AJ41" s="65">
        <f t="shared" si="11"/>
        <v>0.19</v>
      </c>
      <c r="AK41" s="75">
        <f t="shared" si="11"/>
        <v>0.29000000000000004</v>
      </c>
    </row>
    <row r="42" spans="1:39" ht="15.75" customHeight="1" x14ac:dyDescent="0.3">
      <c r="F42" s="73" t="s">
        <v>68</v>
      </c>
      <c r="G42" s="64">
        <f>AVERAGE(G41:M41)*100</f>
        <v>10.714285714285714</v>
      </c>
      <c r="H42" s="63"/>
      <c r="I42" s="63"/>
      <c r="J42" s="63"/>
      <c r="K42" s="63"/>
      <c r="L42" s="63"/>
      <c r="M42" s="63"/>
      <c r="N42" s="64">
        <f>AVERAGE(N41:U41)*100</f>
        <v>13.124999999999998</v>
      </c>
      <c r="O42" s="63"/>
      <c r="P42" s="63"/>
      <c r="Q42" s="63"/>
      <c r="R42" s="63"/>
      <c r="S42" s="63"/>
      <c r="T42" s="63"/>
      <c r="U42" s="63"/>
      <c r="V42" s="64">
        <f>AVERAGE(V41:AC41)*100</f>
        <v>23.25</v>
      </c>
      <c r="W42" s="63"/>
      <c r="X42" s="63"/>
      <c r="Y42" s="63"/>
      <c r="Z42" s="63"/>
      <c r="AA42" s="63"/>
      <c r="AB42" s="63"/>
      <c r="AC42" s="63"/>
      <c r="AD42" s="64">
        <f>AVERAGE(AD41:AK41)*100</f>
        <v>21.375000000000004</v>
      </c>
      <c r="AE42" s="63"/>
      <c r="AF42" s="63"/>
      <c r="AG42" s="63"/>
      <c r="AH42" s="63"/>
      <c r="AI42" s="63"/>
      <c r="AJ42" s="63"/>
      <c r="AK42" s="76"/>
    </row>
    <row r="43" spans="1:39" ht="15.75" customHeight="1" x14ac:dyDescent="0.25">
      <c r="F43" s="71" t="s">
        <v>67</v>
      </c>
      <c r="G43" s="66">
        <f t="shared" ref="G43:AK43" si="12">POWER((G34-G37),2)</f>
        <v>1.318244170096022E-2</v>
      </c>
      <c r="H43" s="66">
        <f t="shared" si="12"/>
        <v>3.0560219478737976E-2</v>
      </c>
      <c r="I43" s="66">
        <f t="shared" si="12"/>
        <v>0.31152935528120718</v>
      </c>
      <c r="J43" s="66">
        <f t="shared" si="12"/>
        <v>7.6400548696844549E-3</v>
      </c>
      <c r="K43" s="66">
        <f t="shared" si="12"/>
        <v>6.0493827160493742E-3</v>
      </c>
      <c r="L43" s="66">
        <f t="shared" si="12"/>
        <v>9.2017832647462144E-3</v>
      </c>
      <c r="M43" s="66">
        <f t="shared" si="12"/>
        <v>5.4322359396433489E-3</v>
      </c>
      <c r="N43" s="66">
        <f t="shared" si="12"/>
        <v>8.5610425240054883E-2</v>
      </c>
      <c r="O43" s="66">
        <f t="shared" si="12"/>
        <v>4.149519890260632E-2</v>
      </c>
      <c r="P43" s="66">
        <f t="shared" si="12"/>
        <v>4.4567901234567865E-2</v>
      </c>
      <c r="Q43" s="66">
        <f t="shared" si="12"/>
        <v>5.1377777777777786E-2</v>
      </c>
      <c r="R43" s="66">
        <f t="shared" si="12"/>
        <v>0.12458285322359401</v>
      </c>
      <c r="S43" s="66">
        <f t="shared" si="12"/>
        <v>9.2729766803840933E-3</v>
      </c>
      <c r="T43" s="66">
        <f t="shared" si="12"/>
        <v>2.4197530864197566E-2</v>
      </c>
      <c r="U43" s="66">
        <f t="shared" si="12"/>
        <v>2.0864197530864145E-2</v>
      </c>
      <c r="V43" s="66">
        <f t="shared" si="12"/>
        <v>2.5000000000000005E-3</v>
      </c>
      <c r="W43" s="66">
        <f t="shared" si="12"/>
        <v>3.2133882030178314E-2</v>
      </c>
      <c r="X43" s="66">
        <f t="shared" si="12"/>
        <v>5.706790123456789E-2</v>
      </c>
      <c r="Y43" s="66">
        <f t="shared" si="12"/>
        <v>9.0222359396433416E-2</v>
      </c>
      <c r="Z43" s="66">
        <f t="shared" si="12"/>
        <v>3.9262688614540527E-2</v>
      </c>
      <c r="AA43" s="66">
        <f t="shared" si="12"/>
        <v>2.7531412894375891E-2</v>
      </c>
      <c r="AB43" s="66">
        <f t="shared" si="12"/>
        <v>0.12563086419753075</v>
      </c>
      <c r="AC43" s="66">
        <f t="shared" si="12"/>
        <v>6.1027297668038417E-2</v>
      </c>
      <c r="AD43" s="66">
        <f t="shared" si="12"/>
        <v>8.5610425240054849E-4</v>
      </c>
      <c r="AE43" s="66">
        <f t="shared" si="12"/>
        <v>4.1043758573388198E-2</v>
      </c>
      <c r="AF43" s="66">
        <f t="shared" si="12"/>
        <v>6.5877777777777799E-2</v>
      </c>
      <c r="AG43" s="66">
        <f t="shared" si="12"/>
        <v>0.12275939643347056</v>
      </c>
      <c r="AH43" s="66">
        <f t="shared" si="12"/>
        <v>5.2220713305898489E-2</v>
      </c>
      <c r="AI43" s="66">
        <f t="shared" si="12"/>
        <v>8.4961454046639212E-2</v>
      </c>
      <c r="AJ43" s="66">
        <f t="shared" si="12"/>
        <v>2.2278326474622755E-2</v>
      </c>
      <c r="AK43" s="77">
        <f t="shared" si="12"/>
        <v>4.8237174211248242E-2</v>
      </c>
    </row>
    <row r="44" spans="1:39" ht="15.75" customHeight="1" thickBot="1" x14ac:dyDescent="0.35">
      <c r="F44" s="90" t="s">
        <v>69</v>
      </c>
      <c r="G44" s="91">
        <f>SQRT(AVERAGE(G43:M43))*100</f>
        <v>23.409261697365753</v>
      </c>
      <c r="H44" s="92"/>
      <c r="I44" s="92"/>
      <c r="J44" s="92"/>
      <c r="K44" s="92"/>
      <c r="L44" s="92"/>
      <c r="M44" s="92"/>
      <c r="N44" s="91">
        <f>SQRT(AVERAGE(N43:U43))*100</f>
        <v>22.415643573575093</v>
      </c>
      <c r="O44" s="92"/>
      <c r="P44" s="92"/>
      <c r="Q44" s="92"/>
      <c r="R44" s="92"/>
      <c r="S44" s="92"/>
      <c r="T44" s="92"/>
      <c r="U44" s="92"/>
      <c r="V44" s="91">
        <f>SQRT(AVERAGE(V43:AC43))*100</f>
        <v>23.328534191941454</v>
      </c>
      <c r="W44" s="92"/>
      <c r="X44" s="92"/>
      <c r="Y44" s="92"/>
      <c r="Z44" s="92"/>
      <c r="AA44" s="92"/>
      <c r="AB44" s="92"/>
      <c r="AC44" s="92"/>
      <c r="AD44" s="91">
        <f>SQRT(AVERAGE(AD43:AK43))*100</f>
        <v>23.404986249607308</v>
      </c>
      <c r="AE44" s="92"/>
      <c r="AF44" s="92"/>
      <c r="AG44" s="92"/>
      <c r="AH44" s="92"/>
      <c r="AI44" s="92"/>
      <c r="AJ44" s="92"/>
      <c r="AK44" s="93"/>
    </row>
    <row r="45" spans="1:39" ht="15.75" customHeight="1" thickBot="1" x14ac:dyDescent="0.3">
      <c r="F45" s="2"/>
      <c r="G45" s="3"/>
      <c r="N45" s="3"/>
      <c r="V45" s="3"/>
      <c r="AD45" s="3"/>
    </row>
    <row r="46" spans="1:39" ht="20" x14ac:dyDescent="0.25">
      <c r="B46" s="82" t="s">
        <v>66</v>
      </c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4"/>
    </row>
    <row r="47" spans="1:39" s="21" customFormat="1" ht="25" x14ac:dyDescent="0.25">
      <c r="B47" s="55" t="s">
        <v>0</v>
      </c>
      <c r="C47" s="52" t="s">
        <v>1</v>
      </c>
      <c r="D47" s="53" t="s">
        <v>59</v>
      </c>
      <c r="E47" s="53" t="s">
        <v>60</v>
      </c>
      <c r="F47" s="53" t="s">
        <v>61</v>
      </c>
      <c r="G47" s="54" t="s">
        <v>31</v>
      </c>
      <c r="H47" s="54" t="s">
        <v>32</v>
      </c>
      <c r="I47" s="54" t="s">
        <v>33</v>
      </c>
      <c r="J47" s="54" t="s">
        <v>53</v>
      </c>
      <c r="K47" s="54" t="s">
        <v>54</v>
      </c>
      <c r="L47" s="54" t="s">
        <v>55</v>
      </c>
      <c r="M47" s="54" t="s">
        <v>56</v>
      </c>
      <c r="N47" s="54" t="s">
        <v>34</v>
      </c>
      <c r="O47" s="54" t="s">
        <v>35</v>
      </c>
      <c r="P47" s="54" t="s">
        <v>36</v>
      </c>
      <c r="Q47" s="54" t="s">
        <v>37</v>
      </c>
      <c r="R47" s="54" t="s">
        <v>53</v>
      </c>
      <c r="S47" s="54" t="s">
        <v>54</v>
      </c>
      <c r="T47" s="54" t="s">
        <v>55</v>
      </c>
      <c r="U47" s="54" t="s">
        <v>56</v>
      </c>
      <c r="V47" s="54" t="s">
        <v>38</v>
      </c>
      <c r="W47" s="54" t="s">
        <v>39</v>
      </c>
      <c r="X47" s="54" t="s">
        <v>40</v>
      </c>
      <c r="Y47" s="54" t="s">
        <v>41</v>
      </c>
      <c r="Z47" s="54" t="s">
        <v>53</v>
      </c>
      <c r="AA47" s="54" t="s">
        <v>54</v>
      </c>
      <c r="AB47" s="54" t="s">
        <v>55</v>
      </c>
      <c r="AC47" s="54" t="s">
        <v>56</v>
      </c>
      <c r="AD47" s="54" t="s">
        <v>42</v>
      </c>
      <c r="AE47" s="54" t="s">
        <v>43</v>
      </c>
      <c r="AF47" s="54" t="s">
        <v>44</v>
      </c>
      <c r="AG47" s="54" t="s">
        <v>45</v>
      </c>
      <c r="AH47" s="54" t="s">
        <v>53</v>
      </c>
      <c r="AI47" s="54" t="s">
        <v>54</v>
      </c>
      <c r="AJ47" s="54" t="s">
        <v>55</v>
      </c>
      <c r="AK47" s="56" t="s">
        <v>56</v>
      </c>
    </row>
    <row r="48" spans="1:39" ht="12.5" x14ac:dyDescent="0.25">
      <c r="B48" s="42" t="s">
        <v>2</v>
      </c>
      <c r="C48" s="16" t="s">
        <v>27</v>
      </c>
      <c r="D48" s="16" t="s">
        <v>15</v>
      </c>
      <c r="E48" s="16" t="s">
        <v>10</v>
      </c>
      <c r="F48" s="16" t="s">
        <v>14</v>
      </c>
      <c r="G48" s="17">
        <v>1</v>
      </c>
      <c r="H48" s="17">
        <v>0.9</v>
      </c>
      <c r="I48" s="17">
        <v>0.7</v>
      </c>
      <c r="J48" s="17">
        <v>1</v>
      </c>
      <c r="K48" s="17">
        <v>1</v>
      </c>
      <c r="L48" s="17">
        <v>1</v>
      </c>
      <c r="M48" s="17">
        <v>1</v>
      </c>
      <c r="N48" s="17">
        <v>0.3</v>
      </c>
      <c r="O48" s="17">
        <v>0.9</v>
      </c>
      <c r="P48" s="17">
        <v>0.8</v>
      </c>
      <c r="Q48" s="17">
        <v>0.9</v>
      </c>
      <c r="R48" s="17">
        <v>1</v>
      </c>
      <c r="S48" s="17">
        <v>1</v>
      </c>
      <c r="T48" s="17">
        <v>1</v>
      </c>
      <c r="U48" s="17">
        <v>1</v>
      </c>
      <c r="V48" s="17">
        <v>0</v>
      </c>
      <c r="W48" s="17">
        <v>0.2</v>
      </c>
      <c r="X48" s="17">
        <v>0.4</v>
      </c>
      <c r="Y48" s="17">
        <v>0.6</v>
      </c>
      <c r="Z48" s="17">
        <v>0.2</v>
      </c>
      <c r="AA48" s="17">
        <v>0.3</v>
      </c>
      <c r="AB48" s="17">
        <v>0.4</v>
      </c>
      <c r="AC48" s="17">
        <v>0.4</v>
      </c>
      <c r="AD48" s="17">
        <v>0.2</v>
      </c>
      <c r="AE48" s="17">
        <v>0.3</v>
      </c>
      <c r="AF48" s="17">
        <v>0.4</v>
      </c>
      <c r="AG48" s="17">
        <v>0.6</v>
      </c>
      <c r="AH48" s="17">
        <v>0.3</v>
      </c>
      <c r="AI48" s="17">
        <v>0.4</v>
      </c>
      <c r="AJ48" s="17">
        <v>0.4</v>
      </c>
      <c r="AK48" s="43">
        <v>0.6</v>
      </c>
    </row>
    <row r="49" spans="2:37" ht="12.5" x14ac:dyDescent="0.25">
      <c r="B49" s="42" t="s">
        <v>7</v>
      </c>
      <c r="C49" s="16" t="s">
        <v>27</v>
      </c>
      <c r="D49" s="16" t="s">
        <v>15</v>
      </c>
      <c r="E49" s="16" t="s">
        <v>5</v>
      </c>
      <c r="F49" s="16" t="s">
        <v>14</v>
      </c>
      <c r="G49" s="17">
        <v>0</v>
      </c>
      <c r="H49" s="17">
        <v>0.2</v>
      </c>
      <c r="I49" s="17">
        <v>0.1</v>
      </c>
      <c r="J49" s="17">
        <v>0</v>
      </c>
      <c r="K49" s="17">
        <v>0.3</v>
      </c>
      <c r="L49" s="17">
        <v>0</v>
      </c>
      <c r="M49" s="17">
        <v>0.2</v>
      </c>
      <c r="N49" s="17">
        <v>0</v>
      </c>
      <c r="O49" s="17">
        <v>0.2</v>
      </c>
      <c r="P49" s="17">
        <v>0</v>
      </c>
      <c r="Q49" s="17">
        <v>0.1</v>
      </c>
      <c r="R49" s="17">
        <v>0.2</v>
      </c>
      <c r="S49" s="17">
        <v>0.3</v>
      </c>
      <c r="T49" s="17">
        <v>0.3</v>
      </c>
      <c r="U49" s="17">
        <v>0.3</v>
      </c>
      <c r="V49" s="17">
        <v>0</v>
      </c>
      <c r="W49" s="17">
        <v>0</v>
      </c>
      <c r="X49" s="17">
        <v>0.1</v>
      </c>
      <c r="Y49" s="17">
        <v>0.3</v>
      </c>
      <c r="Z49" s="17">
        <v>0.1</v>
      </c>
      <c r="AA49" s="17">
        <v>0.3</v>
      </c>
      <c r="AB49" s="17">
        <v>0.1</v>
      </c>
      <c r="AC49" s="17">
        <v>0.2</v>
      </c>
      <c r="AD49" s="17">
        <v>0</v>
      </c>
      <c r="AE49" s="17">
        <v>0.1</v>
      </c>
      <c r="AF49" s="17">
        <v>0.2</v>
      </c>
      <c r="AG49" s="17">
        <v>0.3</v>
      </c>
      <c r="AH49" s="17">
        <v>0.1</v>
      </c>
      <c r="AI49" s="17">
        <v>0.3</v>
      </c>
      <c r="AJ49" s="17">
        <v>0.1</v>
      </c>
      <c r="AK49" s="43">
        <v>0.2</v>
      </c>
    </row>
    <row r="50" spans="2:37" ht="12.5" x14ac:dyDescent="0.25">
      <c r="B50" s="42" t="s">
        <v>2</v>
      </c>
      <c r="C50" s="16" t="s">
        <v>27</v>
      </c>
      <c r="D50" s="16" t="s">
        <v>15</v>
      </c>
      <c r="E50" s="16" t="s">
        <v>13</v>
      </c>
      <c r="F50" s="16" t="s">
        <v>17</v>
      </c>
      <c r="G50" s="17">
        <v>1</v>
      </c>
      <c r="H50" s="17">
        <v>0.8</v>
      </c>
      <c r="I50" s="17">
        <v>0.4</v>
      </c>
      <c r="J50" s="17">
        <v>1</v>
      </c>
      <c r="K50" s="17">
        <v>0.7</v>
      </c>
      <c r="L50" s="17">
        <v>0.9</v>
      </c>
      <c r="M50" s="17">
        <v>0.8</v>
      </c>
      <c r="N50" s="17">
        <v>0.4</v>
      </c>
      <c r="O50" s="17">
        <v>0.8</v>
      </c>
      <c r="P50" s="17">
        <v>0.5</v>
      </c>
      <c r="Q50" s="17">
        <v>0.5</v>
      </c>
      <c r="R50" s="17">
        <v>1</v>
      </c>
      <c r="S50" s="17">
        <v>0.9</v>
      </c>
      <c r="T50" s="17">
        <v>1</v>
      </c>
      <c r="U50" s="17">
        <v>1</v>
      </c>
      <c r="V50" s="17">
        <v>0</v>
      </c>
      <c r="W50" s="17">
        <v>0.4</v>
      </c>
      <c r="X50" s="17">
        <v>0.5</v>
      </c>
      <c r="Y50" s="17">
        <v>0.8</v>
      </c>
      <c r="Z50" s="17">
        <v>0.8</v>
      </c>
      <c r="AA50" s="17">
        <v>0.8</v>
      </c>
      <c r="AB50" s="17">
        <v>0.8</v>
      </c>
      <c r="AC50" s="17">
        <v>0.2</v>
      </c>
      <c r="AD50" s="17">
        <v>0</v>
      </c>
      <c r="AE50" s="17">
        <v>0.2</v>
      </c>
      <c r="AF50" s="17">
        <v>0.4</v>
      </c>
      <c r="AG50" s="17">
        <v>0.5</v>
      </c>
      <c r="AH50" s="17">
        <v>0.4</v>
      </c>
      <c r="AI50" s="17">
        <v>0.6</v>
      </c>
      <c r="AJ50" s="17">
        <v>0.4</v>
      </c>
      <c r="AK50" s="43">
        <v>0.2</v>
      </c>
    </row>
    <row r="51" spans="2:37" ht="12.5" x14ac:dyDescent="0.25">
      <c r="B51" s="42" t="s">
        <v>2</v>
      </c>
      <c r="C51" s="16" t="s">
        <v>27</v>
      </c>
      <c r="D51" s="16" t="s">
        <v>15</v>
      </c>
      <c r="E51" s="16" t="s">
        <v>10</v>
      </c>
      <c r="F51" s="16" t="s">
        <v>14</v>
      </c>
      <c r="G51" s="17">
        <v>0.5</v>
      </c>
      <c r="H51" s="17">
        <v>0.8</v>
      </c>
      <c r="I51" s="17">
        <v>0</v>
      </c>
      <c r="J51" s="17">
        <v>0.6</v>
      </c>
      <c r="K51" s="17">
        <v>0.5</v>
      </c>
      <c r="L51" s="17">
        <v>0.7</v>
      </c>
      <c r="M51" s="17">
        <v>0.9</v>
      </c>
      <c r="N51" s="17">
        <v>0.3</v>
      </c>
      <c r="O51" s="17">
        <v>1</v>
      </c>
      <c r="P51" s="17">
        <v>0.2</v>
      </c>
      <c r="Q51" s="17">
        <v>0.6</v>
      </c>
      <c r="R51" s="17">
        <v>0.4</v>
      </c>
      <c r="S51" s="17">
        <v>1</v>
      </c>
      <c r="T51" s="17">
        <v>0.9</v>
      </c>
      <c r="U51" s="17">
        <v>1</v>
      </c>
      <c r="V51" s="17">
        <v>0</v>
      </c>
      <c r="W51" s="17">
        <v>0.5</v>
      </c>
      <c r="X51" s="17">
        <v>0.4</v>
      </c>
      <c r="Y51" s="17">
        <v>0.8</v>
      </c>
      <c r="Z51" s="17">
        <v>0.5</v>
      </c>
      <c r="AA51" s="17">
        <v>1</v>
      </c>
      <c r="AB51" s="17">
        <v>0.4</v>
      </c>
      <c r="AC51" s="17">
        <v>0.2</v>
      </c>
      <c r="AD51" s="17">
        <v>0</v>
      </c>
      <c r="AE51" s="17">
        <v>0.1</v>
      </c>
      <c r="AF51" s="17">
        <v>0.2</v>
      </c>
      <c r="AG51" s="17">
        <v>0.4</v>
      </c>
      <c r="AH51" s="17">
        <v>0.4</v>
      </c>
      <c r="AI51" s="17">
        <v>1</v>
      </c>
      <c r="AJ51" s="17">
        <v>0</v>
      </c>
      <c r="AK51" s="43">
        <v>0.1</v>
      </c>
    </row>
    <row r="52" spans="2:37" ht="12.5" x14ac:dyDescent="0.25">
      <c r="B52" s="42" t="s">
        <v>2</v>
      </c>
      <c r="C52" s="16" t="s">
        <v>8</v>
      </c>
      <c r="D52" s="16" t="s">
        <v>15</v>
      </c>
      <c r="E52" s="16" t="s">
        <v>13</v>
      </c>
      <c r="F52" s="16" t="s">
        <v>11</v>
      </c>
      <c r="G52" s="17">
        <v>1</v>
      </c>
      <c r="H52" s="17">
        <v>0.6</v>
      </c>
      <c r="I52" s="17">
        <v>0.1</v>
      </c>
      <c r="J52" s="17">
        <v>0.9</v>
      </c>
      <c r="K52" s="17">
        <v>0.6</v>
      </c>
      <c r="L52" s="17">
        <v>0.7</v>
      </c>
      <c r="M52" s="17">
        <v>0.8</v>
      </c>
      <c r="N52" s="17">
        <v>0.3</v>
      </c>
      <c r="O52" s="17">
        <v>0.7</v>
      </c>
      <c r="P52" s="17">
        <v>0.5</v>
      </c>
      <c r="Q52" s="17">
        <v>0.3</v>
      </c>
      <c r="R52" s="17">
        <v>1</v>
      </c>
      <c r="S52" s="17">
        <v>0.7</v>
      </c>
      <c r="T52" s="17">
        <v>0.9</v>
      </c>
      <c r="U52" s="17">
        <v>0.7</v>
      </c>
      <c r="V52" s="17">
        <v>0.2</v>
      </c>
      <c r="W52" s="17">
        <v>0.4</v>
      </c>
      <c r="X52" s="17">
        <v>0.4</v>
      </c>
      <c r="Y52" s="17">
        <v>0.8</v>
      </c>
      <c r="Z52" s="17">
        <v>0.6</v>
      </c>
      <c r="AA52" s="17">
        <v>0.8</v>
      </c>
      <c r="AB52" s="17">
        <v>0.7</v>
      </c>
      <c r="AC52" s="17">
        <v>0.6</v>
      </c>
      <c r="AD52" s="17">
        <v>0</v>
      </c>
      <c r="AE52" s="17">
        <v>0.3</v>
      </c>
      <c r="AF52" s="17">
        <v>0.4</v>
      </c>
      <c r="AG52" s="17">
        <v>0.5</v>
      </c>
      <c r="AH52" s="17">
        <v>0.3</v>
      </c>
      <c r="AI52" s="17">
        <v>0.8</v>
      </c>
      <c r="AJ52" s="17">
        <v>0.6</v>
      </c>
      <c r="AK52" s="43">
        <v>0.5</v>
      </c>
    </row>
    <row r="53" spans="2:37" ht="12.5" x14ac:dyDescent="0.25">
      <c r="B53" s="44" t="s">
        <v>7</v>
      </c>
      <c r="C53" s="19" t="s">
        <v>51</v>
      </c>
      <c r="D53" s="19" t="s">
        <v>4</v>
      </c>
      <c r="E53" s="19" t="s">
        <v>5</v>
      </c>
      <c r="F53" s="19" t="s">
        <v>11</v>
      </c>
      <c r="G53" s="20">
        <v>1</v>
      </c>
      <c r="H53" s="20">
        <v>0.9</v>
      </c>
      <c r="I53" s="20">
        <v>0.1</v>
      </c>
      <c r="J53" s="20">
        <v>1</v>
      </c>
      <c r="K53" s="20">
        <v>0.9</v>
      </c>
      <c r="L53" s="20">
        <v>1</v>
      </c>
      <c r="M53" s="20">
        <v>1</v>
      </c>
      <c r="N53" s="20">
        <v>0</v>
      </c>
      <c r="O53" s="20">
        <v>1</v>
      </c>
      <c r="P53" s="20">
        <v>0.5</v>
      </c>
      <c r="Q53" s="20">
        <v>0.7</v>
      </c>
      <c r="R53" s="20">
        <v>0.9</v>
      </c>
      <c r="S53" s="20">
        <v>1</v>
      </c>
      <c r="T53" s="20">
        <v>1</v>
      </c>
      <c r="U53" s="20">
        <v>1</v>
      </c>
      <c r="V53" s="20">
        <v>0</v>
      </c>
      <c r="W53" s="20">
        <v>0.1</v>
      </c>
      <c r="X53" s="20">
        <v>0.5</v>
      </c>
      <c r="Y53" s="20">
        <v>0.8</v>
      </c>
      <c r="Z53" s="20">
        <v>0.2</v>
      </c>
      <c r="AA53" s="20">
        <v>0.8</v>
      </c>
      <c r="AB53" s="20">
        <v>0.5</v>
      </c>
      <c r="AC53" s="20">
        <v>0.5</v>
      </c>
      <c r="AD53" s="20">
        <v>0</v>
      </c>
      <c r="AE53" s="20">
        <v>0.1</v>
      </c>
      <c r="AF53" s="20">
        <v>0.6</v>
      </c>
      <c r="AG53" s="20">
        <v>0.6</v>
      </c>
      <c r="AH53" s="20">
        <v>0.7</v>
      </c>
      <c r="AI53" s="20">
        <v>0.9</v>
      </c>
      <c r="AJ53" s="20">
        <v>0.3</v>
      </c>
      <c r="AK53" s="45">
        <v>0.4</v>
      </c>
    </row>
    <row r="54" spans="2:37" ht="13" thickBot="1" x14ac:dyDescent="0.3">
      <c r="B54" s="46" t="s">
        <v>7</v>
      </c>
      <c r="C54" s="47" t="s">
        <v>8</v>
      </c>
      <c r="D54" s="48" t="s">
        <v>4</v>
      </c>
      <c r="E54" s="47" t="s">
        <v>16</v>
      </c>
      <c r="F54" s="47" t="s">
        <v>11</v>
      </c>
      <c r="G54" s="49">
        <v>0.3</v>
      </c>
      <c r="H54" s="49">
        <v>0.8</v>
      </c>
      <c r="I54" s="49">
        <v>0.3</v>
      </c>
      <c r="J54" s="50">
        <v>0.6</v>
      </c>
      <c r="K54" s="50">
        <v>0.9</v>
      </c>
      <c r="L54" s="50">
        <v>0.5</v>
      </c>
      <c r="M54" s="50">
        <v>0.3</v>
      </c>
      <c r="N54" s="50">
        <v>0</v>
      </c>
      <c r="O54" s="50">
        <v>1</v>
      </c>
      <c r="P54" s="50">
        <v>0.6</v>
      </c>
      <c r="Q54" s="50">
        <v>0.8</v>
      </c>
      <c r="R54" s="50">
        <v>1</v>
      </c>
      <c r="S54" s="50">
        <v>1</v>
      </c>
      <c r="T54" s="50">
        <v>1</v>
      </c>
      <c r="U54" s="50">
        <v>1</v>
      </c>
      <c r="V54" s="49">
        <v>1</v>
      </c>
      <c r="W54" s="49">
        <v>0.9</v>
      </c>
      <c r="X54" s="49">
        <v>0.8</v>
      </c>
      <c r="Y54" s="49">
        <v>0.7</v>
      </c>
      <c r="Z54" s="50">
        <v>0.3</v>
      </c>
      <c r="AA54" s="50">
        <v>0.5</v>
      </c>
      <c r="AB54" s="50">
        <v>0.4</v>
      </c>
      <c r="AC54" s="50">
        <v>0</v>
      </c>
      <c r="AD54" s="50">
        <v>0</v>
      </c>
      <c r="AE54" s="50">
        <v>0.2</v>
      </c>
      <c r="AF54" s="50">
        <v>0.4</v>
      </c>
      <c r="AG54" s="50">
        <v>0.6</v>
      </c>
      <c r="AH54" s="50">
        <v>0.2</v>
      </c>
      <c r="AI54" s="50">
        <v>0.5</v>
      </c>
      <c r="AJ54" s="50">
        <v>0.4</v>
      </c>
      <c r="AK54" s="51">
        <v>0.1</v>
      </c>
    </row>
    <row r="59" spans="2:37" ht="22.5" customHeight="1" x14ac:dyDescent="0.25"/>
  </sheetData>
  <mergeCells count="7">
    <mergeCell ref="B2:AK2"/>
    <mergeCell ref="B3:AK3"/>
    <mergeCell ref="G5:M5"/>
    <mergeCell ref="N5:U5"/>
    <mergeCell ref="V5:AC5"/>
    <mergeCell ref="AD5:AK5"/>
    <mergeCell ref="B46:AK46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FEF5-FE1D-415A-A6B6-61E84EA2DF27}">
  <dimension ref="A2:F33"/>
  <sheetViews>
    <sheetView zoomScaleNormal="100" workbookViewId="0">
      <selection activeCell="G19" sqref="G19"/>
    </sheetView>
  </sheetViews>
  <sheetFormatPr defaultRowHeight="12.5" x14ac:dyDescent="0.25"/>
  <cols>
    <col min="2" max="2" width="12.6328125" bestFit="1" customWidth="1"/>
    <col min="3" max="3" width="16.36328125" bestFit="1" customWidth="1"/>
    <col min="4" max="4" width="9.81640625" bestFit="1" customWidth="1"/>
  </cols>
  <sheetData>
    <row r="2" spans="1:6" x14ac:dyDescent="0.25">
      <c r="B2" t="s">
        <v>20</v>
      </c>
      <c r="C2" t="s">
        <v>21</v>
      </c>
      <c r="E2" s="4" t="s">
        <v>46</v>
      </c>
      <c r="F2" s="4" t="s">
        <v>47</v>
      </c>
    </row>
    <row r="3" spans="1:6" x14ac:dyDescent="0.25">
      <c r="A3" s="2" t="s">
        <v>31</v>
      </c>
      <c r="B3" s="4">
        <v>5.5</v>
      </c>
      <c r="C3" s="4">
        <v>7</v>
      </c>
      <c r="D3" s="85" t="s">
        <v>23</v>
      </c>
      <c r="E3" s="4">
        <v>1</v>
      </c>
      <c r="F3" s="4">
        <v>1</v>
      </c>
    </row>
    <row r="4" spans="1:6" x14ac:dyDescent="0.25">
      <c r="A4" s="2" t="s">
        <v>32</v>
      </c>
      <c r="B4" s="4">
        <v>2</v>
      </c>
      <c r="C4" s="4">
        <v>3</v>
      </c>
      <c r="D4" s="85"/>
      <c r="E4" s="4">
        <v>2</v>
      </c>
      <c r="F4" s="4">
        <v>2</v>
      </c>
    </row>
    <row r="5" spans="1:6" x14ac:dyDescent="0.25">
      <c r="A5" s="2" t="s">
        <v>33</v>
      </c>
      <c r="B5" s="4">
        <v>1</v>
      </c>
      <c r="C5" s="4">
        <v>2</v>
      </c>
      <c r="D5" s="85"/>
      <c r="E5" s="4">
        <v>3</v>
      </c>
      <c r="F5" s="4">
        <v>3</v>
      </c>
    </row>
    <row r="6" spans="1:6" x14ac:dyDescent="0.25">
      <c r="A6">
        <v>1</v>
      </c>
      <c r="B6" s="4">
        <v>5.5</v>
      </c>
      <c r="C6" s="4">
        <v>6</v>
      </c>
      <c r="D6" s="85"/>
      <c r="E6" s="4">
        <v>4</v>
      </c>
      <c r="F6" s="4">
        <v>4</v>
      </c>
    </row>
    <row r="7" spans="1:6" x14ac:dyDescent="0.25">
      <c r="A7">
        <v>2</v>
      </c>
      <c r="B7" s="4">
        <v>3</v>
      </c>
      <c r="C7" s="4">
        <v>1</v>
      </c>
      <c r="D7" s="85"/>
      <c r="E7" s="4">
        <v>5</v>
      </c>
      <c r="F7" s="4">
        <v>5</v>
      </c>
    </row>
    <row r="8" spans="1:6" x14ac:dyDescent="0.25">
      <c r="A8">
        <v>3</v>
      </c>
      <c r="B8" s="4">
        <v>5.5</v>
      </c>
      <c r="C8" s="4">
        <v>4.5</v>
      </c>
      <c r="D8" s="85"/>
      <c r="E8" s="4">
        <v>6</v>
      </c>
      <c r="F8" s="4">
        <v>6</v>
      </c>
    </row>
    <row r="9" spans="1:6" x14ac:dyDescent="0.25">
      <c r="A9">
        <v>4</v>
      </c>
      <c r="B9" s="4">
        <v>5.5</v>
      </c>
      <c r="C9" s="4">
        <v>4.5</v>
      </c>
      <c r="D9" s="85"/>
      <c r="E9" s="4">
        <v>7</v>
      </c>
      <c r="F9" s="4">
        <v>7</v>
      </c>
    </row>
    <row r="10" spans="1:6" x14ac:dyDescent="0.25">
      <c r="A10" s="2" t="s">
        <v>34</v>
      </c>
      <c r="B10" s="4">
        <v>1</v>
      </c>
      <c r="C10" s="4">
        <v>1</v>
      </c>
      <c r="D10" s="85" t="s">
        <v>26</v>
      </c>
      <c r="E10" s="4">
        <v>8</v>
      </c>
      <c r="F10" s="4">
        <v>8</v>
      </c>
    </row>
    <row r="11" spans="1:6" x14ac:dyDescent="0.25">
      <c r="A11" s="2" t="s">
        <v>35</v>
      </c>
      <c r="B11" s="4">
        <v>4.5</v>
      </c>
      <c r="C11" s="4">
        <v>6.5</v>
      </c>
      <c r="D11" s="86"/>
    </row>
    <row r="12" spans="1:6" x14ac:dyDescent="0.25">
      <c r="A12" s="2" t="s">
        <v>36</v>
      </c>
      <c r="B12" s="4">
        <v>2</v>
      </c>
      <c r="C12" s="4">
        <v>3</v>
      </c>
      <c r="D12" s="86"/>
    </row>
    <row r="13" spans="1:6" x14ac:dyDescent="0.25">
      <c r="A13" s="2" t="s">
        <v>37</v>
      </c>
      <c r="B13" s="4">
        <v>3</v>
      </c>
      <c r="C13" s="4">
        <v>4</v>
      </c>
      <c r="D13" s="86"/>
    </row>
    <row r="14" spans="1:6" x14ac:dyDescent="0.25">
      <c r="A14">
        <v>1</v>
      </c>
      <c r="B14" s="4">
        <v>4.5</v>
      </c>
      <c r="C14" s="4">
        <v>2</v>
      </c>
      <c r="D14" s="86"/>
    </row>
    <row r="15" spans="1:6" x14ac:dyDescent="0.25">
      <c r="A15">
        <v>2</v>
      </c>
      <c r="B15" s="4">
        <v>7</v>
      </c>
      <c r="C15" s="4">
        <v>6.5</v>
      </c>
      <c r="D15" s="86"/>
    </row>
    <row r="16" spans="1:6" x14ac:dyDescent="0.25">
      <c r="A16">
        <v>3</v>
      </c>
      <c r="B16" s="4">
        <v>7</v>
      </c>
      <c r="C16" s="4">
        <v>6.5</v>
      </c>
      <c r="D16" s="86"/>
    </row>
    <row r="17" spans="1:4" x14ac:dyDescent="0.25">
      <c r="A17">
        <v>4</v>
      </c>
      <c r="B17" s="4">
        <v>7</v>
      </c>
      <c r="C17" s="4">
        <v>6.5</v>
      </c>
      <c r="D17" s="86"/>
    </row>
    <row r="18" spans="1:4" x14ac:dyDescent="0.25">
      <c r="A18" s="2" t="s">
        <v>38</v>
      </c>
      <c r="B18" s="4">
        <v>1</v>
      </c>
      <c r="C18" s="4">
        <v>1</v>
      </c>
      <c r="D18" s="85" t="s">
        <v>25</v>
      </c>
    </row>
    <row r="19" spans="1:4" x14ac:dyDescent="0.25">
      <c r="A19" s="2" t="s">
        <v>39</v>
      </c>
      <c r="B19" s="4">
        <v>2</v>
      </c>
      <c r="C19" s="4">
        <v>2</v>
      </c>
      <c r="D19" s="86"/>
    </row>
    <row r="20" spans="1:4" x14ac:dyDescent="0.25">
      <c r="A20" s="2" t="s">
        <v>40</v>
      </c>
      <c r="B20" s="4">
        <v>4</v>
      </c>
      <c r="C20" s="4">
        <v>5</v>
      </c>
      <c r="D20" s="86"/>
    </row>
    <row r="21" spans="1:4" x14ac:dyDescent="0.25">
      <c r="A21" s="2" t="s">
        <v>41</v>
      </c>
      <c r="B21" s="4">
        <v>7</v>
      </c>
      <c r="C21" s="4">
        <v>7</v>
      </c>
      <c r="D21" s="86"/>
    </row>
    <row r="22" spans="1:4" x14ac:dyDescent="0.25">
      <c r="A22">
        <v>1</v>
      </c>
      <c r="B22" s="4">
        <v>4</v>
      </c>
      <c r="C22" s="4">
        <v>6</v>
      </c>
      <c r="D22" s="86"/>
    </row>
    <row r="23" spans="1:4" x14ac:dyDescent="0.25">
      <c r="A23">
        <v>2</v>
      </c>
      <c r="B23" s="4">
        <v>8</v>
      </c>
      <c r="C23" s="4">
        <v>8</v>
      </c>
      <c r="D23" s="86"/>
    </row>
    <row r="24" spans="1:4" x14ac:dyDescent="0.25">
      <c r="A24">
        <v>3</v>
      </c>
      <c r="B24" s="4">
        <v>6</v>
      </c>
      <c r="C24" s="4">
        <v>3.5</v>
      </c>
      <c r="D24" s="86"/>
    </row>
    <row r="25" spans="1:4" x14ac:dyDescent="0.25">
      <c r="A25">
        <v>4</v>
      </c>
      <c r="B25" s="4">
        <v>4</v>
      </c>
      <c r="C25" s="4">
        <v>3.5</v>
      </c>
      <c r="D25" s="86"/>
    </row>
    <row r="26" spans="1:4" x14ac:dyDescent="0.25">
      <c r="A26" s="2" t="s">
        <v>42</v>
      </c>
      <c r="B26" s="4">
        <v>1</v>
      </c>
      <c r="C26" s="4">
        <v>1</v>
      </c>
      <c r="D26" s="85" t="s">
        <v>24</v>
      </c>
    </row>
    <row r="27" spans="1:4" x14ac:dyDescent="0.25">
      <c r="A27" s="2" t="s">
        <v>43</v>
      </c>
      <c r="B27" s="4">
        <v>2</v>
      </c>
      <c r="C27" s="4">
        <v>2</v>
      </c>
      <c r="D27" s="86"/>
    </row>
    <row r="28" spans="1:4" x14ac:dyDescent="0.25">
      <c r="A28" s="2" t="s">
        <v>44</v>
      </c>
      <c r="B28" s="4">
        <v>3</v>
      </c>
      <c r="C28" s="4">
        <v>3.5</v>
      </c>
      <c r="D28" s="86"/>
    </row>
    <row r="29" spans="1:4" x14ac:dyDescent="0.25">
      <c r="A29" s="2" t="s">
        <v>45</v>
      </c>
      <c r="B29" s="4">
        <v>5</v>
      </c>
      <c r="C29" s="4">
        <v>5</v>
      </c>
      <c r="D29" s="86"/>
    </row>
    <row r="30" spans="1:4" x14ac:dyDescent="0.25">
      <c r="A30">
        <v>1</v>
      </c>
      <c r="B30" s="4">
        <v>7</v>
      </c>
      <c r="C30" s="4">
        <v>6</v>
      </c>
      <c r="D30" s="86"/>
    </row>
    <row r="31" spans="1:4" x14ac:dyDescent="0.25">
      <c r="A31">
        <v>2</v>
      </c>
      <c r="B31" s="4">
        <v>8</v>
      </c>
      <c r="C31" s="4">
        <v>8</v>
      </c>
      <c r="D31" s="86"/>
    </row>
    <row r="32" spans="1:4" x14ac:dyDescent="0.25">
      <c r="A32">
        <v>3</v>
      </c>
      <c r="B32" s="4">
        <v>5</v>
      </c>
      <c r="C32" s="4">
        <v>7</v>
      </c>
      <c r="D32" s="86"/>
    </row>
    <row r="33" spans="1:4" x14ac:dyDescent="0.25">
      <c r="A33">
        <v>4</v>
      </c>
      <c r="B33" s="4">
        <v>5</v>
      </c>
      <c r="C33" s="4">
        <v>3.5</v>
      </c>
      <c r="D33" s="86"/>
    </row>
  </sheetData>
  <mergeCells count="4">
    <mergeCell ref="D3:D9"/>
    <mergeCell ref="D26:D33"/>
    <mergeCell ref="D18:D25"/>
    <mergeCell ref="D10:D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4072-558B-418A-91D3-9BB5EE1CCBFF}">
  <dimension ref="A2:F33"/>
  <sheetViews>
    <sheetView topLeftCell="E1" zoomScaleNormal="100" workbookViewId="0">
      <selection activeCell="H26" sqref="H26"/>
    </sheetView>
  </sheetViews>
  <sheetFormatPr defaultRowHeight="12.5" x14ac:dyDescent="0.25"/>
  <cols>
    <col min="1" max="1" width="6.54296875" customWidth="1"/>
    <col min="2" max="2" width="12.26953125" bestFit="1" customWidth="1"/>
    <col min="3" max="3" width="16" bestFit="1" customWidth="1"/>
    <col min="4" max="4" width="9.54296875" bestFit="1" customWidth="1"/>
    <col min="5" max="6" width="5.453125" bestFit="1" customWidth="1"/>
  </cols>
  <sheetData>
    <row r="2" spans="1:6" x14ac:dyDescent="0.25">
      <c r="B2" t="s">
        <v>20</v>
      </c>
      <c r="C2" t="s">
        <v>21</v>
      </c>
      <c r="E2" s="4" t="s">
        <v>46</v>
      </c>
      <c r="F2" s="4" t="s">
        <v>47</v>
      </c>
    </row>
    <row r="3" spans="1:6" x14ac:dyDescent="0.25">
      <c r="A3" s="15" t="s">
        <v>31</v>
      </c>
      <c r="B3" s="11">
        <v>1</v>
      </c>
      <c r="C3" s="11">
        <v>1</v>
      </c>
      <c r="D3" s="85" t="s">
        <v>23</v>
      </c>
      <c r="E3" s="11">
        <v>0</v>
      </c>
      <c r="F3" s="11">
        <v>0</v>
      </c>
    </row>
    <row r="4" spans="1:6" x14ac:dyDescent="0.25">
      <c r="A4" s="15" t="s">
        <v>32</v>
      </c>
      <c r="B4" s="11">
        <v>0.8</v>
      </c>
      <c r="C4" s="11">
        <v>0.96</v>
      </c>
      <c r="D4" s="85"/>
      <c r="E4" s="11">
        <v>0.1</v>
      </c>
      <c r="F4" s="11">
        <v>0.1</v>
      </c>
    </row>
    <row r="5" spans="1:6" x14ac:dyDescent="0.25">
      <c r="A5" s="15" t="s">
        <v>33</v>
      </c>
      <c r="B5" s="11">
        <v>0.4</v>
      </c>
      <c r="C5" s="11">
        <v>0.91</v>
      </c>
      <c r="D5" s="85"/>
      <c r="E5" s="11">
        <v>0.2</v>
      </c>
      <c r="F5" s="11">
        <v>0.2</v>
      </c>
    </row>
    <row r="6" spans="1:6" x14ac:dyDescent="0.25">
      <c r="A6" s="4" t="s">
        <v>53</v>
      </c>
      <c r="B6" s="11">
        <v>1</v>
      </c>
      <c r="C6" s="11">
        <v>0.98</v>
      </c>
      <c r="D6" s="85"/>
      <c r="E6" s="11">
        <v>0.3</v>
      </c>
      <c r="F6" s="11">
        <v>0.3</v>
      </c>
    </row>
    <row r="7" spans="1:6" x14ac:dyDescent="0.25">
      <c r="A7" s="4" t="s">
        <v>54</v>
      </c>
      <c r="B7" s="11">
        <v>0.9</v>
      </c>
      <c r="C7" s="11">
        <v>0.9</v>
      </c>
      <c r="D7" s="85"/>
      <c r="E7" s="11">
        <v>0.4</v>
      </c>
      <c r="F7" s="11">
        <v>0.4</v>
      </c>
    </row>
    <row r="8" spans="1:6" x14ac:dyDescent="0.25">
      <c r="A8" s="4" t="s">
        <v>55</v>
      </c>
      <c r="B8" s="11">
        <v>1</v>
      </c>
      <c r="C8" s="11">
        <v>0.97</v>
      </c>
      <c r="D8" s="85"/>
      <c r="E8" s="11">
        <v>0.5</v>
      </c>
      <c r="F8" s="11">
        <v>0.5</v>
      </c>
    </row>
    <row r="9" spans="1:6" x14ac:dyDescent="0.25">
      <c r="A9" s="4" t="s">
        <v>56</v>
      </c>
      <c r="B9" s="11">
        <v>1</v>
      </c>
      <c r="C9" s="11">
        <v>0.97</v>
      </c>
      <c r="D9" s="85"/>
      <c r="E9" s="11">
        <v>0.6</v>
      </c>
      <c r="F9" s="11">
        <v>0.6</v>
      </c>
    </row>
    <row r="10" spans="1:6" x14ac:dyDescent="0.25">
      <c r="A10" s="15" t="s">
        <v>34</v>
      </c>
      <c r="B10" s="11">
        <v>0.2</v>
      </c>
      <c r="C10" s="11">
        <v>0</v>
      </c>
      <c r="D10" s="85" t="s">
        <v>26</v>
      </c>
      <c r="E10" s="11">
        <v>0.7</v>
      </c>
      <c r="F10" s="11">
        <v>0.7</v>
      </c>
    </row>
    <row r="11" spans="1:6" x14ac:dyDescent="0.25">
      <c r="A11" s="15" t="s">
        <v>35</v>
      </c>
      <c r="B11" s="11">
        <v>0.9</v>
      </c>
      <c r="C11" s="11">
        <v>1</v>
      </c>
      <c r="D11" s="86"/>
      <c r="E11" s="11">
        <v>0.8</v>
      </c>
      <c r="F11" s="11">
        <v>0.8</v>
      </c>
    </row>
    <row r="12" spans="1:6" x14ac:dyDescent="0.25">
      <c r="A12" s="15" t="s">
        <v>36</v>
      </c>
      <c r="B12" s="11">
        <v>0.4</v>
      </c>
      <c r="C12" s="11">
        <v>0.6</v>
      </c>
      <c r="D12" s="86"/>
      <c r="E12" s="11">
        <v>0.9</v>
      </c>
      <c r="F12" s="11">
        <v>0.9</v>
      </c>
    </row>
    <row r="13" spans="1:6" x14ac:dyDescent="0.25">
      <c r="A13" s="15" t="s">
        <v>37</v>
      </c>
      <c r="B13" s="11">
        <v>0.6</v>
      </c>
      <c r="C13" s="11">
        <v>0.76</v>
      </c>
      <c r="D13" s="86"/>
      <c r="E13" s="11">
        <v>1</v>
      </c>
      <c r="F13" s="11">
        <v>1</v>
      </c>
    </row>
    <row r="14" spans="1:6" x14ac:dyDescent="0.25">
      <c r="A14" s="4" t="s">
        <v>53</v>
      </c>
      <c r="B14" s="11">
        <v>0.9</v>
      </c>
      <c r="C14" s="11">
        <v>0.51</v>
      </c>
      <c r="D14" s="86"/>
    </row>
    <row r="15" spans="1:6" x14ac:dyDescent="0.25">
      <c r="A15" s="4" t="s">
        <v>54</v>
      </c>
      <c r="B15" s="11">
        <v>1</v>
      </c>
      <c r="C15" s="11">
        <v>1</v>
      </c>
      <c r="D15" s="86"/>
    </row>
    <row r="16" spans="1:6" x14ac:dyDescent="0.25">
      <c r="A16" s="4" t="s">
        <v>55</v>
      </c>
      <c r="B16" s="11">
        <v>1</v>
      </c>
      <c r="C16" s="11">
        <v>1</v>
      </c>
      <c r="D16" s="86"/>
    </row>
    <row r="17" spans="1:4" x14ac:dyDescent="0.25">
      <c r="A17" s="4" t="s">
        <v>56</v>
      </c>
      <c r="B17" s="11">
        <v>1</v>
      </c>
      <c r="C17" s="11">
        <v>1</v>
      </c>
      <c r="D17" s="86"/>
    </row>
    <row r="18" spans="1:4" x14ac:dyDescent="0.25">
      <c r="A18" s="15" t="s">
        <v>38</v>
      </c>
      <c r="B18" s="11">
        <v>0</v>
      </c>
      <c r="C18" s="11">
        <v>0.05</v>
      </c>
      <c r="D18" s="85" t="s">
        <v>25</v>
      </c>
    </row>
    <row r="19" spans="1:4" x14ac:dyDescent="0.25">
      <c r="A19" s="15" t="s">
        <v>39</v>
      </c>
      <c r="B19" s="11">
        <v>0.2</v>
      </c>
      <c r="C19" s="11">
        <v>0.08</v>
      </c>
      <c r="D19" s="86"/>
    </row>
    <row r="20" spans="1:4" x14ac:dyDescent="0.25">
      <c r="A20" s="15" t="s">
        <v>40</v>
      </c>
      <c r="B20" s="11">
        <v>0.5</v>
      </c>
      <c r="C20" s="11">
        <v>0.25</v>
      </c>
      <c r="D20" s="86"/>
    </row>
    <row r="21" spans="1:4" x14ac:dyDescent="0.25">
      <c r="A21" s="15" t="s">
        <v>41</v>
      </c>
      <c r="B21" s="11">
        <v>0.8</v>
      </c>
      <c r="C21" s="11">
        <v>0.47</v>
      </c>
      <c r="D21" s="86"/>
    </row>
    <row r="22" spans="1:4" x14ac:dyDescent="0.25">
      <c r="A22" s="4" t="s">
        <v>53</v>
      </c>
      <c r="B22" s="11">
        <v>0.5</v>
      </c>
      <c r="C22" s="11">
        <v>0.35</v>
      </c>
      <c r="D22" s="86"/>
    </row>
    <row r="23" spans="1:4" x14ac:dyDescent="0.25">
      <c r="A23" s="4" t="s">
        <v>54</v>
      </c>
      <c r="B23" s="11">
        <v>0.9</v>
      </c>
      <c r="C23" s="11">
        <v>0.66</v>
      </c>
      <c r="D23" s="86"/>
    </row>
    <row r="24" spans="1:4" x14ac:dyDescent="0.25">
      <c r="A24" s="4" t="s">
        <v>55</v>
      </c>
      <c r="B24" s="11">
        <v>0.6</v>
      </c>
      <c r="C24" s="11">
        <v>0.19</v>
      </c>
      <c r="D24" s="86"/>
    </row>
    <row r="25" spans="1:4" x14ac:dyDescent="0.25">
      <c r="A25" s="4" t="s">
        <v>56</v>
      </c>
      <c r="B25" s="11">
        <v>0.5</v>
      </c>
      <c r="C25" s="11">
        <v>0.19</v>
      </c>
      <c r="D25" s="86"/>
    </row>
    <row r="26" spans="1:4" x14ac:dyDescent="0.25">
      <c r="A26" s="15" t="s">
        <v>42</v>
      </c>
      <c r="B26" s="11">
        <v>0</v>
      </c>
      <c r="C26" s="11">
        <v>0.03</v>
      </c>
      <c r="D26" s="85" t="s">
        <v>24</v>
      </c>
    </row>
    <row r="27" spans="1:4" x14ac:dyDescent="0.25">
      <c r="A27" s="15" t="s">
        <v>43</v>
      </c>
      <c r="B27" s="11">
        <v>0.2</v>
      </c>
      <c r="C27" s="11">
        <v>0.09</v>
      </c>
      <c r="D27" s="86"/>
    </row>
    <row r="28" spans="1:4" x14ac:dyDescent="0.25">
      <c r="A28" s="15" t="s">
        <v>44</v>
      </c>
      <c r="B28" s="11">
        <v>0.4</v>
      </c>
      <c r="C28" s="11">
        <v>0.21</v>
      </c>
      <c r="D28" s="86"/>
    </row>
    <row r="29" spans="1:4" x14ac:dyDescent="0.25">
      <c r="A29" s="15" t="s">
        <v>45</v>
      </c>
      <c r="B29" s="11">
        <v>0.5</v>
      </c>
      <c r="C29" s="11">
        <v>0.22</v>
      </c>
      <c r="D29" s="86"/>
    </row>
    <row r="30" spans="1:4" x14ac:dyDescent="0.25">
      <c r="A30" s="4" t="s">
        <v>53</v>
      </c>
      <c r="B30" s="11">
        <v>0.6</v>
      </c>
      <c r="C30" s="11">
        <v>0.28999999999999998</v>
      </c>
      <c r="D30" s="86"/>
    </row>
    <row r="31" spans="1:4" x14ac:dyDescent="0.25">
      <c r="A31" s="4" t="s">
        <v>54</v>
      </c>
      <c r="B31" s="11">
        <v>0.8</v>
      </c>
      <c r="C31" s="11">
        <v>0.49</v>
      </c>
      <c r="D31" s="86"/>
    </row>
    <row r="32" spans="1:4" x14ac:dyDescent="0.25">
      <c r="A32" s="4" t="s">
        <v>55</v>
      </c>
      <c r="B32" s="11">
        <v>0.5</v>
      </c>
      <c r="C32" s="11">
        <v>0.31</v>
      </c>
      <c r="D32" s="86"/>
    </row>
    <row r="33" spans="1:4" x14ac:dyDescent="0.25">
      <c r="A33" s="4" t="s">
        <v>56</v>
      </c>
      <c r="B33" s="11">
        <v>0.5</v>
      </c>
      <c r="C33" s="11">
        <v>0.21</v>
      </c>
      <c r="D33" s="86"/>
    </row>
  </sheetData>
  <mergeCells count="4">
    <mergeCell ref="D3:D9"/>
    <mergeCell ref="D10:D17"/>
    <mergeCell ref="D18:D25"/>
    <mergeCell ref="D26:D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 of Work</vt:lpstr>
      <vt:lpstr>Form Responses 1</vt:lpstr>
      <vt:lpstr>Spearman</vt:lpstr>
      <vt:lpstr>Pearson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Mohammed Hossam</cp:lastModifiedBy>
  <dcterms:created xsi:type="dcterms:W3CDTF">2025-12-09T12:44:04Z</dcterms:created>
  <dcterms:modified xsi:type="dcterms:W3CDTF">2026-08-02T13:13:05Z</dcterms:modified>
</cp:coreProperties>
</file>